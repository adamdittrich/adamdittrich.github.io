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f8cbf15ab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lore" sheetId="1" r:id="R60e7b26a88a0405d"/>
    <x:sheet xmlns:r="http://schemas.openxmlformats.org/officeDocument/2006/relationships" name="Read me" sheetId="2" r:id="R42ff3672bf4f40b5"/>
    <x:sheet xmlns:r="http://schemas.openxmlformats.org/officeDocument/2006/relationships" name="Annual assets" sheetId="3" r:id="R2a04d4108a794006"/>
    <x:sheet xmlns:r="http://schemas.openxmlformats.org/officeDocument/2006/relationships" name="Annual funding" sheetId="4" r:id="R81eb8689c0524bff"/>
    <x:sheet xmlns:r="http://schemas.openxmlformats.org/officeDocument/2006/relationships" name="Annual income" sheetId="5" r:id="Rf1734da69d634212"/>
    <x:sheet xmlns:r="http://schemas.openxmlformats.org/officeDocument/2006/relationships" name="Annual ratios" sheetId="6" r:id="R3db189bd94504f0b"/>
    <x:sheet xmlns:r="http://schemas.openxmlformats.org/officeDocument/2006/relationships" name="Bank assets" sheetId="7" r:id="Ra9a5b44d8bdd49eb"/>
    <x:sheet xmlns:r="http://schemas.openxmlformats.org/officeDocument/2006/relationships" name="Bank funding" sheetId="8" r:id="Rde0d5bd0c72a48a2"/>
    <x:sheet xmlns:r="http://schemas.openxmlformats.org/officeDocument/2006/relationships" name="Bank income" sheetId="9" r:id="R8d44ba1046a24502"/>
    <x:sheet xmlns:r="http://schemas.openxmlformats.org/officeDocument/2006/relationships" name="Bank ratios" sheetId="10" r:id="R91cd3c493adc4fcf"/>
    <x:sheet xmlns:r="http://schemas.openxmlformats.org/officeDocument/2006/relationships" name="Monetary context" sheetId="11" r:id="R5ac89be78b42427f"/>
    <x:sheet xmlns:r="http://schemas.openxmlformats.org/officeDocument/2006/relationships" name="Institutions" sheetId="12" r:id="Rac2aa0b535cb4480"/>
    <x:sheet xmlns:r="http://schemas.openxmlformats.org/officeDocument/2006/relationships" name="Dictionary" sheetId="13" r:id="R0551df3230cd4363"/>
    <x:sheet xmlns:r="http://schemas.openxmlformats.org/officeDocument/2006/relationships" name="Source notes" sheetId="14" r:id="R26eac8bbaf7e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General"/>
    <x:numFmt numFmtId="203" formatCode="#,##0.000"/>
    <x:numFmt numFmtId="204" formatCode="0.00"/>
  </x:numFmts>
  <x:fonts count="9">
    <x:font>
      <x:sz val="11"/>
      <x:name val="Carlito"/>
    </x:font>
    <x:font>
      <x:sz val="10"/>
      <x:color rgb="FF162B36"/>
      <x:name val="Arial"/>
    </x:font>
    <x:font>
      <x:b/>
      <x:sz val="16"/>
      <x:color rgb="FF162B36"/>
      <x:name val="Arial"/>
    </x:font>
    <x:font>
      <x:i/>
      <x:sz val="10"/>
      <x:color rgb="FF67757B"/>
      <x:name val="Arial"/>
    </x:font>
    <x:font>
      <x:b/>
      <x:sz val="10"/>
      <x:color rgb="FFFFFFFF"/>
      <x:name val="Arial"/>
    </x:font>
    <x:font>
      <x:b/>
      <x:sz val="12"/>
      <x:color rgb="FF7A2E34"/>
      <x:name val="Arial"/>
    </x:font>
    <x:font>
      <x:b/>
      <x:sz val="10"/>
      <x:color rgb="FF7A2E34"/>
      <x:name val="Arial"/>
    </x:font>
    <x:font>
      <x:sz val="10"/>
      <x:color rgb="FF67757B"/>
      <x:name val="Arial"/>
    </x:font>
    <x:font>
      <x:b/>
      <x:sz val="10"/>
      <x:color rgb="FF162B3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2B36"/>
      </x:patternFill>
    </x:fill>
    <x:fill>
      <x:patternFill patternType="solid">
        <x:fgColor rgb="FFF8FAFA"/>
      </x:patternFill>
    </x:fill>
    <x:fill>
      <x:patternFill patternType="solid">
        <x:fgColor rgb="FFF4F0E7"/>
      </x:patternFill>
    </x:fill>
    <x:fill>
      <x:patternFill patternType="solid">
        <x:fgColor rgb="FFFFF0CD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7A2E3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7A2E34"/>
      </x:left>
      <x:right style="thin">
        <x:color rgb="FF7A2E34"/>
      </x:right>
      <x:top style="thin">
        <x:color rgb="FF7A2E34"/>
      </x:top>
      <x:bottom style="thin">
        <x:color rgb="FF7A2E34"/>
      </x:bottom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3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left" vertical="center"/>
    </x:xf>
    <x:xf numFmtId="204" fontId="1" fillId="3" borderId="0" xfId="0" applyNumberFormat="1" applyFont="1" applyFill="1" applyBorder="1" applyAlignment="1">
      <x:alignment horizontal="lef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left" vertical="top" wrapText="1"/>
    </x:xf>
    <x:xf numFmtId="202" fontId="1" fillId="3" borderId="0" xfId="0" applyNumberFormat="1" applyFont="1" applyFill="1" applyBorder="1" applyAlignment="1">
      <x:alignment horizontal="left" vertical="top" wrapText="1"/>
    </x:xf>
    <x:xf numFmtId="202" fontId="1" fillId="0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left" vertical="center"/>
    </x:xf>
    <x:xf numFmtId="202" fontId="6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b754b45d64a7d" /><Relationship Type="http://schemas.openxmlformats.org/officeDocument/2006/relationships/theme" Target="/xl/theme/theme1.xml" Id="R2e868e5954fd4380" /><Relationship Type="http://schemas.microsoft.com/office/2022/11/relationships/FeaturePropertyBag" Target="/xl/featurePropertyBag/featurePropertyBag.xml" Id="R79e4c353dcf44651" /><Relationship Type="http://schemas.openxmlformats.org/officeDocument/2006/relationships/sharedStrings" Target="/xl/sharedStrings.xml" Id="Rb1468ac3ac0a4662" /><Relationship Type="http://schemas.openxmlformats.org/officeDocument/2006/relationships/worksheet" Target="/xl/worksheets/sheet1.xml" Id="R60e7b26a88a0405d" /><Relationship Type="http://schemas.openxmlformats.org/officeDocument/2006/relationships/worksheet" Target="/xl/worksheets/sheet2.xml" Id="R42ff3672bf4f40b5" /><Relationship Type="http://schemas.openxmlformats.org/officeDocument/2006/relationships/worksheet" Target="/xl/worksheets/sheet3.xml" Id="R2a04d4108a794006" /><Relationship Type="http://schemas.openxmlformats.org/officeDocument/2006/relationships/worksheet" Target="/xl/worksheets/sheet4.xml" Id="R81eb8689c0524bff" /><Relationship Type="http://schemas.openxmlformats.org/officeDocument/2006/relationships/worksheet" Target="/xl/worksheets/sheet5.xml" Id="Rf1734da69d634212" /><Relationship Type="http://schemas.openxmlformats.org/officeDocument/2006/relationships/worksheet" Target="/xl/worksheets/sheet6.xml" Id="R3db189bd94504f0b" /><Relationship Type="http://schemas.openxmlformats.org/officeDocument/2006/relationships/worksheet" Target="/xl/worksheets/sheet7.xml" Id="Ra9a5b44d8bdd49eb" /><Relationship Type="http://schemas.openxmlformats.org/officeDocument/2006/relationships/worksheet" Target="/xl/worksheets/sheet8.xml" Id="Rde0d5bd0c72a48a2" /><Relationship Type="http://schemas.openxmlformats.org/officeDocument/2006/relationships/worksheet" Target="/xl/worksheets/sheet9.xml" Id="R8d44ba1046a24502" /><Relationship Type="http://schemas.openxmlformats.org/officeDocument/2006/relationships/worksheet" Target="/xl/worksheets/sheet10.xml" Id="R91cd3c493adc4fcf" /><Relationship Type="http://schemas.openxmlformats.org/officeDocument/2006/relationships/worksheet" Target="/xl/worksheets/sheet11.xml" Id="R5ac89be78b42427f" /><Relationship Type="http://schemas.openxmlformats.org/officeDocument/2006/relationships/worksheet" Target="/xl/worksheets/sheet12.xml" Id="Rac2aa0b535cb4480" /><Relationship Type="http://schemas.openxmlformats.org/officeDocument/2006/relationships/worksheet" Target="/xl/worksheets/sheet13.xml" Id="R0551df3230cd4363" /><Relationship Type="http://schemas.openxmlformats.org/officeDocument/2006/relationships/worksheet" Target="/xl/worksheets/sheet14.xml" Id="R26eac8bbaf7e46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dc789e8da949d6" /><Relationship Type="http://schemas.openxmlformats.org/officeDocument/2006/relationships/chart" Target="/xl/drawings/charts/chart2.xml" Id="Rd4642548304c49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Aggregate stocks (1930 = 100)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Assets</c:v>
          </c:tx>
          <c:spPr>
            <a:solidFill xmlns:a="http://schemas.openxmlformats.org/drawingml/2006/main">
              <a:srgbClr val="162B36"/>
            </a:solidFill>
            <a:ln xmlns:a="http://schemas.openxmlformats.org/drawingml/2006/main" w="19050">
              <a:solidFill>
                <a:srgbClr val="162B36"/>
              </a:solidFill>
              <a:prstDash val="solid"/>
            </a:ln>
          </c:spPr>
          <c:marker>
            <c:symbol val="none"/>
          </c:marker>
          <c:cat>
            <c:strRef>
              <c:f>'Explore'!$B$35:$B$53</c:f>
              <c:strCache>
                <c:ptCount val="0"/>
              </c:strCache>
            </c:strRef>
          </c:cat>
          <c:val>
            <c:numRef>
              <c:f>'Explore'!$C$35:$C$53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Loans + bills</c:v>
          </c:tx>
          <c:spPr>
            <a:solidFill xmlns:a="http://schemas.openxmlformats.org/drawingml/2006/main">
              <a:srgbClr val="7A2E34"/>
            </a:solidFill>
            <a:ln xmlns:a="http://schemas.openxmlformats.org/drawingml/2006/main" w="19050">
              <a:solidFill>
                <a:srgbClr val="7A2E34"/>
              </a:solidFill>
              <a:prstDash val="solid"/>
            </a:ln>
          </c:spPr>
          <c:marker>
            <c:symbol val="none"/>
          </c:marker>
          <c:cat>
            <c:strRef>
              <c:f>'Explore'!$B$35:$B$53</c:f>
              <c:strCache>
                <c:ptCount val="0"/>
              </c:strCache>
            </c:strRef>
          </c:cat>
          <c:val>
            <c:numRef>
              <c:f>'Explore'!$D$35:$D$53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Capital + reserves</c:v>
          </c:tx>
          <c:spPr>
            <a:solidFill xmlns:a="http://schemas.openxmlformats.org/drawingml/2006/main">
              <a:srgbClr val="337E7B"/>
            </a:solidFill>
            <a:ln xmlns:a="http://schemas.openxmlformats.org/drawingml/2006/main" w="19050">
              <a:solidFill>
                <a:srgbClr val="337E7B"/>
              </a:solidFill>
              <a:prstDash val="solid"/>
            </a:ln>
          </c:spPr>
          <c:marker>
            <c:symbol val="none"/>
          </c:marker>
          <c:cat>
            <c:strRef>
              <c:f>'Explore'!$B$35:$B$53</c:f>
              <c:strCache>
                <c:ptCount val="0"/>
              </c:strCache>
            </c:strRef>
          </c:cat>
          <c:val>
            <c:numRef>
              <c:f>'Explore'!$E$35:$E$53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Selected bank (1933 = 100)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Assets</c:v>
          </c:tx>
          <c:spPr>
            <a:solidFill xmlns:a="http://schemas.openxmlformats.org/drawingml/2006/main">
              <a:srgbClr val="162B36"/>
            </a:solidFill>
            <a:ln xmlns:a="http://schemas.openxmlformats.org/drawingml/2006/main" w="19050">
              <a:solidFill>
                <a:srgbClr val="162B36"/>
              </a:solidFill>
              <a:prstDash val="solid"/>
            </a:ln>
          </c:spPr>
          <c:marker>
            <c:symbol val="none"/>
          </c:marker>
          <c:cat>
            <c:strRef>
              <c:f>'Explore'!$I$35:$I$39</c:f>
              <c:strCache>
                <c:ptCount val="0"/>
              </c:strCache>
            </c:strRef>
          </c:cat>
          <c:val>
            <c:numRef>
              <c:f>'Explore'!$J$35:$J$39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Debtors + bills</c:v>
          </c:tx>
          <c:spPr>
            <a:solidFill xmlns:a="http://schemas.openxmlformats.org/drawingml/2006/main">
              <a:srgbClr val="7A2E34"/>
            </a:solidFill>
            <a:ln xmlns:a="http://schemas.openxmlformats.org/drawingml/2006/main" w="19050">
              <a:solidFill>
                <a:srgbClr val="7A2E34"/>
              </a:solidFill>
              <a:prstDash val="solid"/>
            </a:ln>
          </c:spPr>
          <c:marker>
            <c:symbol val="none"/>
          </c:marker>
          <c:cat>
            <c:strRef>
              <c:f>'Explore'!$I$35:$I$39</c:f>
              <c:strCache>
                <c:ptCount val="0"/>
              </c:strCache>
            </c:strRef>
          </c:cat>
          <c:val>
            <c:numRef>
              <c:f>'Explore'!$K$35:$K$39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Capital + reserves</c:v>
          </c:tx>
          <c:spPr>
            <a:solidFill xmlns:a="http://schemas.openxmlformats.org/drawingml/2006/main">
              <a:srgbClr val="337E7B"/>
            </a:solidFill>
            <a:ln xmlns:a="http://schemas.openxmlformats.org/drawingml/2006/main" w="19050">
              <a:solidFill>
                <a:srgbClr val="337E7B"/>
              </a:solidFill>
              <a:prstDash val="solid"/>
            </a:ln>
          </c:spPr>
          <c:marker>
            <c:symbol val="none"/>
          </c:marker>
          <c:cat>
            <c:strRef>
              <c:f>'Explore'!$I$35:$I$39</c:f>
              <c:strCache>
                <c:ptCount val="0"/>
              </c:strCache>
            </c:strRef>
          </c:cat>
          <c:val>
            <c:numRef>
              <c:f>'Explore'!$L$35:$L$39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9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dc789e8da949d6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642548304c49e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9" name="WorkbookGuide" displayName="WorkbookGuide" ref="A7:B21" headerRowCount="1" totalsRowCount="0" totalsRowShown="0">
  <x:autoFilter ref="A7:B21"/>
  <x:tableColumns count="2">
    <x:tableColumn id="1" name="Topic"/>
    <x:tableColumn id="2" name="Definition or us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0" name="Navigation" displayName="Navigation" ref="A27:B40" headerRowCount="1" totalsRowCount="0" totalsRowShown="0">
  <x:autoFilter ref="A27:B40"/>
  <x:tableColumns count="2">
    <x:tableColumn id="1" name="Worksheet"/>
    <x:tableColumn id="2" name="Content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Annualassets7" displayName="Annualassets7" ref="A7:M26" headerRowCount="1" totalsRowCount="0" totalsRowShown="0">
  <x:autoFilter ref="A7:M26"/>
  <x:tableColumns count="13">
    <x:tableColumn id="1" name="Year"/>
    <x:tableColumn id="2" name="Balance-sheet banks"/>
    <x:tableColumn id="3" name="Total assets"/>
    <x:tableColumn id="4" name="Broad cash"/>
    <x:tableColumn id="5" name="Loans and advances"/>
    <x:tableColumn id="6" name="Discounted bills"/>
    <x:tableColumn id="7" name="Loans in sundry assets"/>
    <x:tableColumn id="8" name="Loans and bills"/>
    <x:tableColumn id="9" name="Extended credit"/>
    <x:tableColumn id="10" name="Securities"/>
    <x:tableColumn id="11" name="Participations"/>
    <x:tableColumn id="12" name="Premises"/>
    <x:tableColumn id="13" name="Sundry asset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2" name="Annualfunding7" displayName="Annualfunding7" ref="A7:K26" headerRowCount="1" totalsRowCount="0" totalsRowShown="0">
  <x:autoFilter ref="A7:K26"/>
  <x:tableColumns count="11">
    <x:tableColumn id="1" name="Year"/>
    <x:tableColumn id="2" name="Balance-sheet banks"/>
    <x:tableColumn id="3" name="Paid share capital"/>
    <x:tableColumn id="4" name="Loss-cover reserves"/>
    <x:tableColumn id="5" name="Capital and reserves"/>
    <x:tableColumn id="6" name="Balance-sheet profit"/>
    <x:tableColumn id="7" name="Original deposit total"/>
    <x:tableColumn id="8" name="Comparable deposits"/>
    <x:tableColumn id="9" name="Due to banks"/>
    <x:tableColumn id="10" name="Sundry liabilities"/>
    <x:tableColumn id="11" name="Deposits comparabl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3" name="Annualincome7" displayName="Annualincome7" ref="A7:K26" headerRowCount="1" totalsRowCount="0" totalsRowShown="0">
  <x:autoFilter ref="A7:K26"/>
  <x:tableColumns count="11">
    <x:tableColumn id="1" name="Year"/>
    <x:tableColumn id="2" name="Income banks"/>
    <x:tableColumn id="3" name="Balance-sheet banks"/>
    <x:tableColumn id="4" name="Net interest"/>
    <x:tableColumn id="5" name="Commissions"/>
    <x:tableColumn id="6" name="Gross profits"/>
    <x:tableColumn id="7" name="Operating expenses"/>
    <x:tableColumn id="8" name="Net profit / loss"/>
    <x:tableColumn id="9" name="Write-offs"/>
    <x:tableColumn id="10" name="Dividends"/>
    <x:tableColumn id="11" name="Published counts match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Annualratios7" displayName="Annualratios7" ref="A7:M26" headerRowCount="1" totalsRowCount="0" totalsRowShown="0">
  <x:autoFilter ref="A7:M26"/>
  <x:tableColumns count="13">
    <x:tableColumn id="1" name="Year"/>
    <x:tableColumn id="2" name="Capital / assets (%)"/>
    <x:tableColumn id="3" name="Loans + bills / assets (%)"/>
    <x:tableColumn id="4" name="Extended credit / assets (%)"/>
    <x:tableColumn id="5" name="Cash / assets (%)"/>
    <x:tableColumn id="6" name="Securities / assets (%)"/>
    <x:tableColumn id="7" name="Participations / assets (%)"/>
    <x:tableColumn id="8" name="Deposits / assets (%)"/>
    <x:tableColumn id="9" name="Due to banks / assets (%)"/>
    <x:tableColumn id="10" name="Loans + bills / deposits (%)"/>
    <x:tableColumn id="11" name="Net interest / end-assets (%)"/>
    <x:tableColumn id="12" name="Commissions / end-assets (%)"/>
    <x:tableColumn id="13" name="Net profit / end-assets (%)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4" name="Bankassets7" displayName="Bankassets7" ref="A7:K77" headerRowCount="1" totalsRowCount="0" totalsRowShown="0">
  <x:autoFilter ref="A7:K77"/>
  <x:tableColumns count="11">
    <x:tableColumn id="1" name="Bank ID"/>
    <x:tableColumn id="2" name="Year"/>
    <x:tableColumn id="3" name="Total assets"/>
    <x:tableColumn id="4" name="Source cash"/>
    <x:tableColumn id="5" name="Bills"/>
    <x:tableColumn id="6" name="Securities"/>
    <x:tableColumn id="7" name="Participations"/>
    <x:tableColumn id="8" name="Debtors"/>
    <x:tableColumn id="9" name="Premises"/>
    <x:tableColumn id="10" name="Other assets"/>
    <x:tableColumn id="11" name="Issue loan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5" name="Bankfunding7" displayName="Bankfunding7" ref="A7:L77" headerRowCount="1" totalsRowCount="0" totalsRowShown="0">
  <x:autoFilter ref="A7:L77"/>
  <x:tableColumns count="12">
    <x:tableColumn id="1" name="Bank ID"/>
    <x:tableColumn id="2" name="Year"/>
    <x:tableColumn id="3" name="Paid share capital"/>
    <x:tableColumn id="4" name="Published reserves"/>
    <x:tableColumn id="5" name="Other funds"/>
    <x:tableColumn id="6" name="Source deposits"/>
    <x:tableColumn id="7" name="General creditors"/>
    <x:tableColumn id="8" name="Other liabilities"/>
    <x:tableColumn id="9" name="Profit brought forward"/>
    <x:tableColumn id="10" name="Reported net profit"/>
    <x:tableColumn id="11" name="Bonds issued"/>
    <x:tableColumn id="12" name="Stabilisation fun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6" name="Bankincome7" displayName="Bankincome7" ref="A7:J77" headerRowCount="1" totalsRowCount="0" totalsRowShown="0">
  <x:autoFilter ref="A7:J77"/>
  <x:tableColumns count="10">
    <x:tableColumn id="1" name="Bank ID"/>
    <x:tableColumn id="2" name="Year"/>
    <x:tableColumn id="3" name="Net interest"/>
    <x:tableColumn id="4" name="Commissions"/>
    <x:tableColumn id="5" name="Other income"/>
    <x:tableColumn id="6" name="Non-staff overheads"/>
    <x:tableColumn id="7" name="Staff overheads"/>
    <x:tableColumn id="8" name="Taxes"/>
    <x:tableColumn id="9" name="Depreciation"/>
    <x:tableColumn id="10" name="Other losse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8" name="Bankratios7" displayName="Bankratios7" ref="A7:M77" headerRowCount="1" totalsRowCount="0" totalsRowShown="0">
  <x:autoFilter ref="A7:M77"/>
  <x:tableColumns count="13">
    <x:tableColumn id="1" name="Bank ID"/>
    <x:tableColumn id="2" name="Year"/>
    <x:tableColumn id="3" name="Total assets"/>
    <x:tableColumn id="4" name="Capital and reserves"/>
    <x:tableColumn id="5" name="Debtors and bills"/>
    <x:tableColumn id="6" name="Capital / assets (%)"/>
    <x:tableColumn id="7" name="Debtors + bills / assets (%)"/>
    <x:tableColumn id="8" name="Cash / assets (%)"/>
    <x:tableColumn id="9" name="Securities / assets (%)"/>
    <x:tableColumn id="10" name="Source deposits / assets (%)"/>
    <x:tableColumn id="11" name="Creditors / assets (%)"/>
    <x:tableColumn id="12" name="Net interest / end-assets (%)"/>
    <x:tableColumn id="13" name="Commissions / end-assets (%)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9" name="CentralBankContext" displayName="CentralBankContext" ref="A7:H16" headerRowCount="1" totalsRowCount="0" totalsRowShown="0">
  <x:autoFilter ref="A7:H16"/>
  <x:tableColumns count="8">
    <x:tableColumn id="1" name="Year"/>
    <x:tableColumn id="2" name="Total assets"/>
    <x:tableColumn id="3" name="Notes in circulation"/>
    <x:tableColumn id="4" name="Discounted bills"/>
    <x:tableColumn id="5" name="Discounted securities"/>
    <x:tableColumn id="6" name="Collateral advances"/>
    <x:tableColumn id="7" name="Source ID"/>
    <x:tableColumn id="8" name="Source page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0" name="PriceContext" displayName="PriceContext" ref="A23:K43" headerRowCount="1" totalsRowCount="0" totalsRowShown="0">
  <x:autoFilter ref="A23:K43"/>
  <x:tableColumns count="11">
    <x:tableColumn id="1" name="Year"/>
    <x:tableColumn id="2" name="WPI monthly count"/>
    <x:tableColumn id="3" name="WPI annual mean"/>
    <x:tableColumn id="4" name="WPI 1 December"/>
    <x:tableColumn id="5" name="WPI next 1 January"/>
    <x:tableColumn id="6" name="WPI proxy (1929=100)"/>
    <x:tableColumn id="7" name="CPI source index"/>
    <x:tableColumn id="8" name="CPI (1929=100)"/>
    <x:tableColumn id="9" name="WPI proxy date"/>
    <x:tableColumn id="10" name="CPI workbook cell"/>
    <x:tableColumn id="11" name="Source flag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1" name="BankRegister" displayName="BankRegister" ref="A7:C21" headerRowCount="1" totalsRowCount="0" totalsRowShown="0">
  <x:autoFilter ref="A7:C21"/>
  <x:tableColumns count="3">
    <x:tableColumn id="1" name="Bank ID"/>
    <x:tableColumn id="2" name="Handbook institution"/>
    <x:tableColumn id="3" name="Population ID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2" name="Coverage1929" displayName="Coverage1929" ref="A26:F33" headerRowCount="1" totalsRowCount="0" totalsRowShown="0">
  <x:autoFilter ref="A26:F33"/>
  <x:tableColumns count="6">
    <x:tableColumn id="1" name="Measure"/>
    <x:tableColumn id="2" name="Unit"/>
    <x:tableColumn id="3" name="National 22"/>
    <x:tableColumn id="4" name="Matched 14"/>
    <x:tableColumn id="5" name="Other 8"/>
    <x:tableColumn id="6" name="Matched share (%)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3" name="NationalInstitutions1929" displayName="NationalInstitutions1929" ref="A39:K61" headerRowCount="1" totalsRowCount="0" totalsRowShown="0">
  <x:autoFilter ref="A39:K61"/>
  <x:tableColumns count="11">
    <x:tableColumn id="1" name="National ID"/>
    <x:tableColumn id="2" name="National institution"/>
    <x:tableColumn id="3" name="Headquarters"/>
    <x:tableColumn id="4" name="Panel member"/>
    <x:tableColumn id="5" name="Panel bank ID"/>
    <x:tableColumn id="6" name="Paid capital (000 Kč)"/>
    <x:tableColumn id="7" name="Reserves (000 Kč)"/>
    <x:tableColumn id="8" name="Deposits (000 Kč)"/>
    <x:tableColumn id="9" name="Creditors (000 Kč)"/>
    <x:tableColumn id="10" name="Own bonds (000 Kč)"/>
    <x:tableColumn id="11" name="Identity match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4" name="VariableDictionary" displayName="VariableDictionary" ref="A7:L347" headerRowCount="1" totalsRowCount="0" totalsRowShown="0">
  <x:autoFilter ref="A7:L347"/>
  <x:tableColumns count="12">
    <x:tableColumn id="1" name="dataset id"/>
    <x:tableColumn id="2" name="column name"/>
    <x:tableColumn id="3" name="label"/>
    <x:tableColumn id="4" name="description"/>
    <x:tableColumn id="5" name="data type"/>
    <x:tableColumn id="6" name="unit"/>
    <x:tableColumn id="7" name="role"/>
    <x:tableColumn id="8" name="formula"/>
    <x:tableColumn id="9" name="original source label"/>
    <x:tableColumn id="10" name="input source column"/>
    <x:tableColumn id="11" name="missing value encoding"/>
    <x:tableColumn id="12" name="status detail location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5" name="SourceIndex" displayName="SourceIndex" ref="A7:F16" headerRowCount="1" totalsRowCount="0" totalsRowShown="0">
  <x:autoFilter ref="A7:F16"/>
  <x:tableColumns count="6">
    <x:tableColumn id="1" name="source id"/>
    <x:tableColumn id="2" name="publication year"/>
    <x:tableColumn id="3" name="title"/>
    <x:tableColumn id="4" name="source url"/>
    <x:tableColumn id="5" name="consulted edition"/>
    <x:tableColumn id="6" name="verification scope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6" name="AnnualProvenance" displayName="AnnualProvenance" ref="A23:E42" headerRowCount="1" totalsRowCount="0" totalsRowShown="0">
  <x:autoFilter ref="A23:E42"/>
  <x:tableColumns count="5">
    <x:tableColumn id="1" name="year"/>
    <x:tableColumn id="2" name="population id"/>
    <x:tableColumn id="3" name="source ids"/>
    <x:tableColumn id="4" name="source entry ids"/>
    <x:tableColumn id="5" name="flags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7" name="BankProvenance" displayName="BankProvenance" ref="A49:H119" headerRowCount="1" totalsRowCount="0" totalsRowShown="0">
  <x:autoFilter ref="A49:H119"/>
  <x:tableColumns count="8">
    <x:tableColumn id="1" name="Bank ID"/>
    <x:tableColumn id="2" name="Year"/>
    <x:tableColumn id="3" name="Asset PDF page"/>
    <x:tableColumn id="4" name="Funding PDF page"/>
    <x:tableColumn id="5" name="Income PDF page"/>
    <x:tableColumn id="6" name="Asset component residual (m Kč)"/>
    <x:tableColumn id="7" name="Source flags"/>
    <x:tableColumn id="8" name="Category notes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18" name="ReserveEvents" displayName="ReserveEvents" ref="A126:G131" headerRowCount="1" totalsRowCount="0" totalsRowShown="0">
  <x:autoFilter ref="A126:G131"/>
  <x:tableColumns count="7">
    <x:tableColumn id="1" name="Bank ID"/>
    <x:tableColumn id="2" name="Year"/>
    <x:tableColumn id="3" name="Amount (m Kč)"/>
    <x:tableColumn id="4" name="Amount status"/>
    <x:tableColumn id="5" name="Recorded event"/>
    <x:tableColumn id="6" name="Interpretation"/>
    <x:tableColumn id="7" name="Source PDF pag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3c8638264f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84f55a8ac4346" /><Relationship Type="http://schemas.openxmlformats.org/officeDocument/2006/relationships/table" Target="/xl/tables/table2.xml" Id="R2ed3483e4a8844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d6b6171b7445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7d0dfb4e72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6e89ef1f1a40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2ea3fb13e24a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24aeecbf0214e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30abe0bd65c4a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4f7fd7afa9545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e814cd11fb348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3da1c0063c44179" /><Relationship Type="http://schemas.openxmlformats.org/officeDocument/2006/relationships/table" Target="/xl/tables/table12.xml" Id="R54920da2e92f4e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1afcbc5c021a4ad0" /><Relationship Type="http://schemas.openxmlformats.org/officeDocument/2006/relationships/table" Target="/xl/tables/table14.xml" Id="Rb471e5ea802e47e5" /><Relationship Type="http://schemas.openxmlformats.org/officeDocument/2006/relationships/table" Target="/xl/tables/table15.xml" Id="Rb508149631a649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c2335b1b843e4ac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bdf9e29c22f8436a" /><Relationship Type="http://schemas.openxmlformats.org/officeDocument/2006/relationships/table" Target="/xl/tables/table18.xml" Id="R1ba7713a96694bf5" /><Relationship Type="http://schemas.openxmlformats.org/officeDocument/2006/relationships/table" Target="/xl/tables/table19.xml" Id="R2650dc9b79cd4dbf" /><Relationship Type="http://schemas.openxmlformats.org/officeDocument/2006/relationships/table" Target="/xl/tables/table20.xml" Id="Rcef2fdaf8f5e4a76" /></Relationships>
</file>

<file path=xl/worksheets/sheet1.xml><?xml version="1.0" encoding="utf-8"?>
<x:worksheet xmlns:x="http://schemas.openxmlformats.org/spreadsheetml/2006/main">
  <x:sheetPr>
    <x:tabColor rgb="FF162B36"/>
  </x:sheetPr>
  <x:sheetViews>
    <x:sheetView showGridLines="0" workbookViewId="0"/>
  </x:sheetViews>
  <x:sheetFormatPr defaultRowHeight="15"/>
  <x:cols>
    <x:col min="1" max="1" width="2.6700000762939453" hidden="0" customWidth="1"/>
    <x:col min="2" max="2" width="10.670000076293945" hidden="0" customWidth="1"/>
    <x:col min="3" max="3" width="10.670000076293945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  <x:col min="8" max="8" width="3.109999895095825" hidden="0" customWidth="1"/>
    <x:col min="9" max="9" width="10.670000076293945" hidden="0" customWidth="1"/>
    <x:col min="10" max="10" width="10.670000076293945" hidden="0" customWidth="1"/>
    <x:col min="11" max="11" width="10.670000076293945" hidden="0" customWidth="1"/>
    <x:col min="12" max="12" width="10.670000076293945" hidden="0" customWidth="1"/>
    <x:col min="13" max="13" width="10.670000076293945" hidden="0" customWidth="1"/>
    <x:col min="14" max="14" width="10.670000076293945" hidden="0" customWidth="1"/>
  </x:cols>
  <x:sheetData>
    <x:row r="1" ht="20" customHeight="1">
      <x:c r="A1" s="51"/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</x:row>
    <x:row r="2" ht="30" customHeight="1">
      <x:c r="A2" s="51"/>
      <x:c r="B2" s="53" t="str">
        <x:v>Commercial banking in the Czech lands</x:v>
      </x:c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 ht="20" customHeight="1">
      <x:c r="A3" s="51"/>
      <x:c r="B3" s="55" t="str">
        <x:v>Version 0.1.0. Annual aggregate: 1919–1937. Fixed handbook cohort: 1933–1937.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</x:row>
    <x:row r="4" ht="20" customHeight="1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</x:row>
    <x:row r="5" ht="20" customHeight="1">
      <x:c r="A5" s="51"/>
      <x:c r="B5" s="56" t="str">
        <x:v>Changing aggregate</x:v>
      </x:c>
      <x:c r="C5" s="56"/>
      <x:c r="D5" s="56"/>
      <x:c r="E5" s="56"/>
      <x:c r="F5" s="56"/>
      <x:c r="G5" s="56"/>
      <x:c r="H5" s="56"/>
      <x:c r="I5" s="56" t="str">
        <x:v>Fixed bank cohort</x:v>
      </x:c>
      <x:c r="J5" s="56"/>
      <x:c r="K5" s="56"/>
      <x:c r="L5" s="56"/>
      <x:c r="M5" s="56"/>
      <x:c r="N5" s="56"/>
    </x:row>
    <x:row r="6" ht="20" customHeight="1">
      <x:c r="A6" s="51"/>
      <x:c r="B6" s="51" t="str">
        <x:v>Years</x:v>
      </x:c>
      <x:c r="C6" s="57" t="n">
        <x:f>COUNT('Annual assets'!$A$8:$A$26)</x:f>
        <x:v>19</x:v>
      </x:c>
      <x:c r="D6" s="51" t="str">
        <x:v>Base year</x:v>
      </x:c>
      <x:c r="E6" s="51" t="n">
        <x:v>1930</x:v>
      </x:c>
      <x:c r="F6" s="51"/>
      <x:c r="G6" s="51"/>
      <x:c r="H6" s="51"/>
      <x:c r="I6" s="51" t="str">
        <x:v>Bank ID</x:v>
      </x:c>
      <x:c r="J6" s="61" t="str">
        <x:v>zivno</x:v>
      </x:c>
      <x:c r="K6" s="62" t="str">
        <x:v>Editable selector</x:v>
      </x:c>
      <x:c r="L6" s="51"/>
      <x:c r="M6" s="51"/>
      <x:c r="N6" s="51"/>
    </x:row>
    <x:row r="7" ht="2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</x:row>
    <x:row r="8" ht="20" customHeight="1">
      <x:c r="A8" s="51"/>
      <x:c r="B8" s="55" t="str">
        <x:v>Nominal stocks. Each series equals 100 in 1930.</x:v>
      </x:c>
      <x:c r="C8" s="55"/>
      <x:c r="D8" s="55"/>
      <x:c r="E8" s="55"/>
      <x:c r="F8" s="55"/>
      <x:c r="G8" s="55"/>
      <x:c r="H8" s="55"/>
      <x:c r="I8" s="55" t="str">
        <x:f>IF($J$31=5,VLOOKUP($J$6,'Institutions'!$A$8:$B$21,2,FALSE),"Select a bank ID")</x:f>
        <x:v>Živnostenská banka</x:v>
      </x:c>
      <x:c r="J8" s="55"/>
      <x:c r="K8" s="55"/>
      <x:c r="L8" s="55"/>
      <x:c r="M8" s="55"/>
      <x:c r="N8" s="55"/>
    </x:row>
    <x:row r="9" ht="2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</x:row>
    <x:row r="10" ht="2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</x:row>
    <x:row r="11" ht="2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</x:row>
    <x:row r="12" ht="2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</x:row>
    <x:row r="13" ht="2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</x:row>
    <x:row r="14" ht="2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</x:row>
    <x:row r="15" ht="2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</x:row>
    <x:row r="16" ht="2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</x:row>
    <x:row r="17" ht="2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</x:row>
    <x:row r="18" ht="2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</x:row>
    <x:row r="19" ht="2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</x:row>
    <x:row r="20" ht="2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</x:row>
    <x:row r="21" ht="2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</x:row>
    <x:row r="22" ht="2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</x:row>
    <x:row r="23" ht="2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</x:row>
    <x:row r="24" ht="2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</x:row>
    <x:row r="25" ht="2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</x:row>
    <x:row r="26" ht="2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</x:row>
    <x:row r="27" ht="2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</x:row>
    <x:row r="28" ht="2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</x:row>
    <x:row r="29" ht="20" customHeight="1">
      <x:c r="A29" s="51"/>
      <x:c r="B29" s="55" t="str">
        <x:v>The populations and category boundaries differ. Indexing does not make them interchangeable.</x:v>
      </x:c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</x:row>
    <x:row r="30" ht="20" customHeight="1">
      <x:c r="A30" s="51"/>
      <x:c r="B30" s="55" t="str">
        <x:v>Blank observations remain blank. Account tables, definitions and provenance are available through Read me.</x:v>
      </x:c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</x:row>
    <x:row r="31" ht="20" customHeight="1">
      <x:c r="A31" s="51"/>
      <x:c r="B31" s="51"/>
      <x:c r="C31" s="51"/>
      <x:c r="D31" s="51"/>
      <x:c r="E31" s="51"/>
      <x:c r="F31" s="51"/>
      <x:c r="G31" s="51"/>
      <x:c r="H31" s="51"/>
      <x:c r="I31" s="51" t="str">
        <x:v>Selected rows</x:v>
      </x:c>
      <x:c r="J31" s="51" t="n">
        <x:f>COUNTIFS('Bank assets'!$A$8:$A$77,$J$6)</x:f>
        <x:v>5</x:v>
      </x:c>
      <x:c r="K31" s="51"/>
      <x:c r="L31" s="51"/>
      <x:c r="M31" s="51"/>
      <x:c r="N31" s="51"/>
    </x:row>
    <x:row r="32" ht="2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</x:row>
    <x:row r="33" ht="20" customHeight="1">
      <x:c r="A33" s="51"/>
      <x:c r="B33" s="63" t="str">
        <x:v>Chart data and index calculations</x:v>
      </x:c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</x:row>
    <x:row r="34" ht="36" customHeight="1">
      <x:c r="A34" s="51"/>
      <x:c r="B34" s="65" t="str">
        <x:v>Year</x:v>
      </x:c>
      <x:c r="C34" s="65" t="str">
        <x:v>Assets</x:v>
      </x:c>
      <x:c r="D34" s="65" t="str">
        <x:v>Loans + bills</x:v>
      </x:c>
      <x:c r="E34" s="65" t="str">
        <x:v>Capital + reserves</x:v>
      </x:c>
      <x:c r="F34" s="51"/>
      <x:c r="G34" s="51"/>
      <x:c r="H34" s="51"/>
      <x:c r="I34" s="65" t="str">
        <x:v>Year</x:v>
      </x:c>
      <x:c r="J34" s="65" t="str">
        <x:v>Assets</x:v>
      </x:c>
      <x:c r="K34" s="65" t="str">
        <x:v>Debtors + bills</x:v>
      </x:c>
      <x:c r="L34" s="65" t="str">
        <x:v>Capital + reserves</x:v>
      </x:c>
      <x:c r="M34" s="65" t="str">
        <x:v>Net interest</x:v>
      </x:c>
      <x:c r="N34" s="65" t="str">
        <x:v>Commissions</x:v>
      </x:c>
    </x:row>
    <x:row r="35" ht="20" customHeight="1">
      <x:c r="A35" s="51"/>
      <x:c r="B35" s="66" t="n">
        <x:v>1919</x:v>
      </x:c>
      <x:c r="C35" s="68" t="n">
        <x:f>100*SUMIFS('Annual assets'!$C$8:$C$26,'Annual assets'!$A$8:$A$26,$B35)/SUMIFS('Annual assets'!$C$8:$C$26,'Annual assets'!$A$8:$A$26,$E$6)</x:f>
        <x:v>39.014772158237356</x:v>
      </x:c>
      <x:c r="D35" s="68" t="n">
        <x:f>100*SUMIFS('Annual assets'!$H$8:$H$26,'Annual assets'!$A$8:$A$26,$B35)/SUMIFS('Annual assets'!$H$8:$H$26,'Annual assets'!$A$8:$A$26,$E$6)</x:f>
        <x:v>38.39767183086536</x:v>
      </x:c>
      <x:c r="E35" s="68" t="n">
        <x:f>100*SUMIFS('Annual funding'!$E$8:$E$26,'Annual funding'!$A$8:$A$26,$B35)/SUMIFS('Annual funding'!$E$8:$E$26,'Annual funding'!$A$8:$A$26,$E$6)</x:f>
        <x:v>38.562290587876944</x:v>
      </x:c>
      <x:c r="F35" s="51"/>
      <x:c r="G35" s="51"/>
      <x:c r="H35" s="51"/>
      <x:c r="I35" s="66" t="n">
        <x:v>1933</x:v>
      </x:c>
      <x:c r="J35" s="68" t="n">
        <x:f>IF($J$31=5,IF(SUMIFS('Bank assets'!$C$8:$C$77,'Bank assets'!$A$8:$A$77,$J$6,'Bank assets'!$B$8:$B$77,1933)=0,"",100*SUMIFS('Bank assets'!$C$8:$C$77,'Bank assets'!$A$8:$A$77,$J$6,'Bank assets'!$B$8:$B$77,$I35)/SUMIFS('Bank assets'!$C$8:$C$77,'Bank assets'!$A$8:$A$77,$J$6,'Bank assets'!$B$8:$B$77,1933)),"")</x:f>
        <x:v>100</x:v>
      </x:c>
      <x:c r="K35" s="68" t="n">
        <x:f>IF($J$31=5,IF((SUMIFS('Bank assets'!$H$8:$H$77,'Bank assets'!$A$8:$A$77,$J$6,'Bank assets'!$B$8:$B$77,1933)+SUMIFS('Bank assets'!$E$8:$E$77,'Bank assets'!$A$8:$A$77,$J$6,'Bank assets'!$B$8:$B$77,1933))=0,"",100*(SUMIFS('Bank assets'!$H$8:$H$77,'Bank assets'!$A$8:$A$77,$J$6,'Bank assets'!$B$8:$B$77,$I35)+SUMIFS('Bank assets'!$E$8:$E$77,'Bank assets'!$A$8:$A$77,$J$6,'Bank assets'!$B$8:$B$77,$I35))/(SUMIFS('Bank assets'!$H$8:$H$77,'Bank assets'!$A$8:$A$77,$J$6,'Bank assets'!$B$8:$B$77,1933)+SUMIFS('Bank assets'!$E$8:$E$77,'Bank assets'!$A$8:$A$77,$J$6,'Bank assets'!$B$8:$B$77,1933))),"")</x:f>
        <x:v>100</x:v>
      </x:c>
      <x:c r="L35" s="68" t="n">
        <x:f>IF($J$31=5,IF((SUMIFS('Bank funding'!$C$8:$C$77,'Bank funding'!$A$8:$A$77,$J$6,'Bank funding'!$B$8:$B$77,1933)+SUMIFS('Bank funding'!$D$8:$D$77,'Bank funding'!$A$8:$A$77,$J$6,'Bank funding'!$B$8:$B$77,1933))=0,"",100*(SUMIFS('Bank funding'!$C$8:$C$77,'Bank funding'!$A$8:$A$77,$J$6,'Bank funding'!$B$8:$B$77,$I35)+SUMIFS('Bank funding'!$D$8:$D$77,'Bank funding'!$A$8:$A$77,$J$6,'Bank funding'!$B$8:$B$77,$I35))/(SUMIFS('Bank funding'!$C$8:$C$77,'Bank funding'!$A$8:$A$77,$J$6,'Bank funding'!$B$8:$B$77,1933)+SUMIFS('Bank funding'!$D$8:$D$77,'Bank funding'!$A$8:$A$77,$J$6,'Bank funding'!$B$8:$B$77,1933))),"")</x:f>
        <x:v>100</x:v>
      </x:c>
      <x:c r="M35" s="68" t="n">
        <x:f>IF($J$31=5,IF(SUMIFS('Bank income'!$C$8:$C$77,'Bank income'!$A$8:$A$77,$J$6,'Bank income'!$B$8:$B$77,1933)=0,"",100*SUMIFS('Bank income'!$C$8:$C$77,'Bank income'!$A$8:$A$77,$J$6,'Bank income'!$B$8:$B$77,$I35)/SUMIFS('Bank income'!$C$8:$C$77,'Bank income'!$A$8:$A$77,$J$6,'Bank income'!$B$8:$B$77,1933)),"")</x:f>
        <x:v>100</x:v>
      </x:c>
      <x:c r="N35" s="68" t="n">
        <x:f>IF($J$31=5,IF(SUMIFS('Bank income'!$D$8:$D$77,'Bank income'!$A$8:$A$77,$J$6,'Bank income'!$B$8:$B$77,1933)=0,"",100*SUMIFS('Bank income'!$D$8:$D$77,'Bank income'!$A$8:$A$77,$J$6,'Bank income'!$B$8:$B$77,$I35)/SUMIFS('Bank income'!$D$8:$D$77,'Bank income'!$A$8:$A$77,$J$6,'Bank income'!$B$8:$B$77,1933)),"")</x:f>
        <x:v>100</x:v>
      </x:c>
    </x:row>
    <x:row r="36" ht="20" customHeight="1">
      <x:c r="A36" s="51"/>
      <x:c r="B36" s="66" t="n">
        <x:v>1920</x:v>
      </x:c>
      <x:c r="C36" s="68" t="n">
        <x:f>100*SUMIFS('Annual assets'!$C$8:$C$26,'Annual assets'!$A$8:$A$26,$B36)/SUMIFS('Annual assets'!$C$8:$C$26,'Annual assets'!$A$8:$A$26,$E$6)</x:f>
        <x:v>59.39221331997997</x:v>
      </x:c>
      <x:c r="D36" s="68" t="n">
        <x:f>100*SUMIFS('Annual assets'!$H$8:$H$26,'Annual assets'!$A$8:$A$26,$B36)/SUMIFS('Annual assets'!$H$8:$H$26,'Annual assets'!$A$8:$A$26,$E$6)</x:f>
        <x:v>59.95463493965591</x:v>
      </x:c>
      <x:c r="E36" s="68" t="n">
        <x:f>100*SUMIFS('Annual funding'!$E$8:$E$26,'Annual funding'!$A$8:$A$26,$B36)/SUMIFS('Annual funding'!$E$8:$E$26,'Annual funding'!$A$8:$A$26,$E$6)</x:f>
        <x:v>56.80779774596406</x:v>
      </x:c>
      <x:c r="F36" s="51"/>
      <x:c r="G36" s="51"/>
      <x:c r="H36" s="51"/>
      <x:c r="I36" s="66" t="n">
        <x:v>1934</x:v>
      </x:c>
      <x:c r="J36" s="68" t="n">
        <x:f>IF($J$31=5,IF(SUMIFS('Bank assets'!$C$8:$C$77,'Bank assets'!$A$8:$A$77,$J$6,'Bank assets'!$B$8:$B$77,1933)=0,"",100*SUMIFS('Bank assets'!$C$8:$C$77,'Bank assets'!$A$8:$A$77,$J$6,'Bank assets'!$B$8:$B$77,$I36)/SUMIFS('Bank assets'!$C$8:$C$77,'Bank assets'!$A$8:$A$77,$J$6,'Bank assets'!$B$8:$B$77,1933)),"")</x:f>
        <x:v>102.73813407274507</x:v>
      </x:c>
      <x:c r="K36" s="68" t="n">
        <x:f>IF($J$31=5,IF((SUMIFS('Bank assets'!$H$8:$H$77,'Bank assets'!$A$8:$A$77,$J$6,'Bank assets'!$B$8:$B$77,1933)+SUMIFS('Bank assets'!$E$8:$E$77,'Bank assets'!$A$8:$A$77,$J$6,'Bank assets'!$B$8:$B$77,1933))=0,"",100*(SUMIFS('Bank assets'!$H$8:$H$77,'Bank assets'!$A$8:$A$77,$J$6,'Bank assets'!$B$8:$B$77,$I36)+SUMIFS('Bank assets'!$E$8:$E$77,'Bank assets'!$A$8:$A$77,$J$6,'Bank assets'!$B$8:$B$77,$I36))/(SUMIFS('Bank assets'!$H$8:$H$77,'Bank assets'!$A$8:$A$77,$J$6,'Bank assets'!$B$8:$B$77,1933)+SUMIFS('Bank assets'!$E$8:$E$77,'Bank assets'!$A$8:$A$77,$J$6,'Bank assets'!$B$8:$B$77,1933))),"")</x:f>
        <x:v>103.56059445380727</x:v>
      </x:c>
      <x:c r="L36" s="68" t="n">
        <x:f>IF($J$31=5,IF((SUMIFS('Bank funding'!$C$8:$C$77,'Bank funding'!$A$8:$A$77,$J$6,'Bank funding'!$B$8:$B$77,1933)+SUMIFS('Bank funding'!$D$8:$D$77,'Bank funding'!$A$8:$A$77,$J$6,'Bank funding'!$B$8:$B$77,1933))=0,"",100*(SUMIFS('Bank funding'!$C$8:$C$77,'Bank funding'!$A$8:$A$77,$J$6,'Bank funding'!$B$8:$B$77,$I36)+SUMIFS('Bank funding'!$D$8:$D$77,'Bank funding'!$A$8:$A$77,$J$6,'Bank funding'!$B$8:$B$77,$I36))/(SUMIFS('Bank funding'!$C$8:$C$77,'Bank funding'!$A$8:$A$77,$J$6,'Bank funding'!$B$8:$B$77,1933)+SUMIFS('Bank funding'!$D$8:$D$77,'Bank funding'!$A$8:$A$77,$J$6,'Bank funding'!$B$8:$B$77,1933))),"")</x:f>
        <x:v>100.17035775127768</x:v>
      </x:c>
      <x:c r="M36" s="68" t="n">
        <x:f>IF($J$31=5,IF(SUMIFS('Bank income'!$C$8:$C$77,'Bank income'!$A$8:$A$77,$J$6,'Bank income'!$B$8:$B$77,1933)=0,"",100*SUMIFS('Bank income'!$C$8:$C$77,'Bank income'!$A$8:$A$77,$J$6,'Bank income'!$B$8:$B$77,$I36)/SUMIFS('Bank income'!$C$8:$C$77,'Bank income'!$A$8:$A$77,$J$6,'Bank income'!$B$8:$B$77,1933)),"")</x:f>
        <x:v>89.73305954825462</x:v>
      </x:c>
      <x:c r="N36" s="68" t="n">
        <x:f>IF($J$31=5,IF(SUMIFS('Bank income'!$D$8:$D$77,'Bank income'!$A$8:$A$77,$J$6,'Bank income'!$B$8:$B$77,1933)=0,"",100*SUMIFS('Bank income'!$D$8:$D$77,'Bank income'!$A$8:$A$77,$J$6,'Bank income'!$B$8:$B$77,$I36)/SUMIFS('Bank income'!$D$8:$D$77,'Bank income'!$A$8:$A$77,$J$6,'Bank income'!$B$8:$B$77,1933)),"")</x:f>
        <x:v>94.35483870967741</x:v>
      </x:c>
    </x:row>
    <x:row r="37" ht="20" customHeight="1">
      <x:c r="A37" s="51"/>
      <x:c r="B37" s="66" t="n">
        <x:v>1921</x:v>
      </x:c>
      <x:c r="C37" s="68" t="n">
        <x:f>100*SUMIFS('Annual assets'!$C$8:$C$26,'Annual assets'!$A$8:$A$26,$B37)/SUMIFS('Annual assets'!$C$8:$C$26,'Annual assets'!$A$8:$A$26,$E$6)</x:f>
        <x:v>77.5600901352028</x:v>
      </x:c>
      <x:c r="D37" s="68" t="n">
        <x:f>100*SUMIFS('Annual assets'!$H$8:$H$26,'Annual assets'!$A$8:$A$26,$B37)/SUMIFS('Annual assets'!$H$8:$H$26,'Annual assets'!$A$8:$A$26,$E$6)</x:f>
        <x:v>83.79269023367286</x:v>
      </x:c>
      <x:c r="E37" s="68" t="n">
        <x:f>100*SUMIFS('Annual funding'!$E$8:$E$26,'Annual funding'!$A$8:$A$26,$B37)/SUMIFS('Annual funding'!$E$8:$E$26,'Annual funding'!$A$8:$A$26,$E$6)</x:f>
        <x:v>66.49406031069144</x:v>
      </x:c>
      <x:c r="F37" s="51"/>
      <x:c r="G37" s="51"/>
      <x:c r="H37" s="51"/>
      <x:c r="I37" s="66" t="n">
        <x:v>1935</x:v>
      </x:c>
      <x:c r="J37" s="68" t="n">
        <x:f>IF($J$31=5,IF(SUMIFS('Bank assets'!$C$8:$C$77,'Bank assets'!$A$8:$A$77,$J$6,'Bank assets'!$B$8:$B$77,1933)=0,"",100*SUMIFS('Bank assets'!$C$8:$C$77,'Bank assets'!$A$8:$A$77,$J$6,'Bank assets'!$B$8:$B$77,$I37)/SUMIFS('Bank assets'!$C$8:$C$77,'Bank assets'!$A$8:$A$77,$J$6,'Bank assets'!$B$8:$B$77,1933)),"")</x:f>
        <x:v>106.14296199641169</x:v>
      </x:c>
      <x:c r="K37" s="68" t="n">
        <x:f>IF($J$31=5,IF((SUMIFS('Bank assets'!$H$8:$H$77,'Bank assets'!$A$8:$A$77,$J$6,'Bank assets'!$B$8:$B$77,1933)+SUMIFS('Bank assets'!$E$8:$E$77,'Bank assets'!$A$8:$A$77,$J$6,'Bank assets'!$B$8:$B$77,1933))=0,"",100*(SUMIFS('Bank assets'!$H$8:$H$77,'Bank assets'!$A$8:$A$77,$J$6,'Bank assets'!$B$8:$B$77,$I37)+SUMIFS('Bank assets'!$E$8:$E$77,'Bank assets'!$A$8:$A$77,$J$6,'Bank assets'!$B$8:$B$77,$I37))/(SUMIFS('Bank assets'!$H$8:$H$77,'Bank assets'!$A$8:$A$77,$J$6,'Bank assets'!$B$8:$B$77,1933)+SUMIFS('Bank assets'!$E$8:$E$77,'Bank assets'!$A$8:$A$77,$J$6,'Bank assets'!$B$8:$B$77,1933))),"")</x:f>
        <x:v>106.73510035238242</x:v>
      </x:c>
      <x:c r="L37" s="68" t="n">
        <x:f>IF($J$31=5,IF((SUMIFS('Bank funding'!$C$8:$C$77,'Bank funding'!$A$8:$A$77,$J$6,'Bank funding'!$B$8:$B$77,1933)+SUMIFS('Bank funding'!$D$8:$D$77,'Bank funding'!$A$8:$A$77,$J$6,'Bank funding'!$B$8:$B$77,1933))=0,"",100*(SUMIFS('Bank funding'!$C$8:$C$77,'Bank funding'!$A$8:$A$77,$J$6,'Bank funding'!$B$8:$B$77,$I37)+SUMIFS('Bank funding'!$D$8:$D$77,'Bank funding'!$A$8:$A$77,$J$6,'Bank funding'!$B$8:$B$77,$I37))/(SUMIFS('Bank funding'!$C$8:$C$77,'Bank funding'!$A$8:$A$77,$J$6,'Bank funding'!$B$8:$B$77,1933)+SUMIFS('Bank funding'!$D$8:$D$77,'Bank funding'!$A$8:$A$77,$J$6,'Bank funding'!$B$8:$B$77,1933))),"")</x:f>
        <x:v>100.37478705281092</x:v>
      </x:c>
      <x:c r="M37" s="68" t="n">
        <x:f>IF($J$31=5,IF(SUMIFS('Bank income'!$C$8:$C$77,'Bank income'!$A$8:$A$77,$J$6,'Bank income'!$B$8:$B$77,1933)=0,"",100*SUMIFS('Bank income'!$C$8:$C$77,'Bank income'!$A$8:$A$77,$J$6,'Bank income'!$B$8:$B$77,$I37)/SUMIFS('Bank income'!$C$8:$C$77,'Bank income'!$A$8:$A$77,$J$6,'Bank income'!$B$8:$B$77,1933)),"")</x:f>
        <x:v>78.43942505133471</x:v>
      </x:c>
      <x:c r="N37" s="68" t="n">
        <x:f>IF($J$31=5,IF(SUMIFS('Bank income'!$D$8:$D$77,'Bank income'!$A$8:$A$77,$J$6,'Bank income'!$B$8:$B$77,1933)=0,"",100*SUMIFS('Bank income'!$D$8:$D$77,'Bank income'!$A$8:$A$77,$J$6,'Bank income'!$B$8:$B$77,$I37)/SUMIFS('Bank income'!$D$8:$D$77,'Bank income'!$A$8:$A$77,$J$6,'Bank income'!$B$8:$B$77,1933)),"")</x:f>
        <x:v>98.92473118279568</x:v>
      </x:c>
    </x:row>
    <x:row r="38" ht="20" customHeight="1">
      <x:c r="A38" s="51"/>
      <x:c r="B38" s="66" t="n">
        <x:v>1922</x:v>
      </x:c>
      <x:c r="C38" s="68" t="n">
        <x:f>100*SUMIFS('Annual assets'!$C$8:$C$26,'Annual assets'!$A$8:$A$26,$B38)/SUMIFS('Annual assets'!$C$8:$C$26,'Annual assets'!$A$8:$A$26,$E$6)</x:f>
        <x:v>85.92576364546821</x:v>
      </x:c>
      <x:c r="D38" s="68" t="n">
        <x:f>100*SUMIFS('Annual assets'!$H$8:$H$26,'Annual assets'!$A$8:$A$26,$B38)/SUMIFS('Annual assets'!$H$8:$H$26,'Annual assets'!$A$8:$A$26,$E$6)</x:f>
        <x:v>93.73448600530686</x:v>
      </x:c>
      <x:c r="E38" s="68" t="n">
        <x:f>100*SUMIFS('Annual funding'!$E$8:$E$26,'Annual funding'!$A$8:$A$26,$B38)/SUMIFS('Annual funding'!$E$8:$E$26,'Annual funding'!$A$8:$A$26,$E$6)</x:f>
        <x:v>76.18032287541882</x:v>
      </x:c>
      <x:c r="F38" s="51"/>
      <x:c r="G38" s="51"/>
      <x:c r="H38" s="51"/>
      <x:c r="I38" s="66" t="n">
        <x:v>1936</x:v>
      </x:c>
      <x:c r="J38" s="68" t="n">
        <x:f>IF($J$31=5,IF(SUMIFS('Bank assets'!$C$8:$C$77,'Bank assets'!$A$8:$A$77,$J$6,'Bank assets'!$B$8:$B$77,1933)=0,"",100*SUMIFS('Bank assets'!$C$8:$C$77,'Bank assets'!$A$8:$A$77,$J$6,'Bank assets'!$B$8:$B$77,$I38)/SUMIFS('Bank assets'!$C$8:$C$77,'Bank assets'!$A$8:$A$77,$J$6,'Bank assets'!$B$8:$B$77,1933)),"")</x:f>
        <x:v>107.04412004566954</x:v>
      </x:c>
      <x:c r="K38" s="68" t="n">
        <x:f>IF($J$31=5,IF((SUMIFS('Bank assets'!$H$8:$H$77,'Bank assets'!$A$8:$A$77,$J$6,'Bank assets'!$B$8:$B$77,1933)+SUMIFS('Bank assets'!$E$8:$E$77,'Bank assets'!$A$8:$A$77,$J$6,'Bank assets'!$B$8:$B$77,1933))=0,"",100*(SUMIFS('Bank assets'!$H$8:$H$77,'Bank assets'!$A$8:$A$77,$J$6,'Bank assets'!$B$8:$B$77,$I38)+SUMIFS('Bank assets'!$E$8:$E$77,'Bank assets'!$A$8:$A$77,$J$6,'Bank assets'!$B$8:$B$77,$I38))/(SUMIFS('Bank assets'!$H$8:$H$77,'Bank assets'!$A$8:$A$77,$J$6,'Bank assets'!$B$8:$B$77,1933)+SUMIFS('Bank assets'!$E$8:$E$77,'Bank assets'!$A$8:$A$77,$J$6,'Bank assets'!$B$8:$B$77,1933))),"")</x:f>
        <x:v>111.13222000919258</x:v>
      </x:c>
      <x:c r="L38" s="68" t="n">
        <x:f>IF($J$31=5,IF((SUMIFS('Bank funding'!$C$8:$C$77,'Bank funding'!$A$8:$A$77,$J$6,'Bank funding'!$B$8:$B$77,1933)+SUMIFS('Bank funding'!$D$8:$D$77,'Bank funding'!$A$8:$A$77,$J$6,'Bank funding'!$B$8:$B$77,1933))=0,"",100*(SUMIFS('Bank funding'!$C$8:$C$77,'Bank funding'!$A$8:$A$77,$J$6,'Bank funding'!$B$8:$B$77,$I38)+SUMIFS('Bank funding'!$D$8:$D$77,'Bank funding'!$A$8:$A$77,$J$6,'Bank funding'!$B$8:$B$77,$I38))/(SUMIFS('Bank funding'!$C$8:$C$77,'Bank funding'!$A$8:$A$77,$J$6,'Bank funding'!$B$8:$B$77,1933)+SUMIFS('Bank funding'!$D$8:$D$77,'Bank funding'!$A$8:$A$77,$J$6,'Bank funding'!$B$8:$B$77,1933))),"")</x:f>
        <x:v>100.57921635434413</x:v>
      </x:c>
      <x:c r="M38" s="68" t="n">
        <x:f>IF($J$31=5,IF(SUMIFS('Bank income'!$C$8:$C$77,'Bank income'!$A$8:$A$77,$J$6,'Bank income'!$B$8:$B$77,1933)=0,"",100*SUMIFS('Bank income'!$C$8:$C$77,'Bank income'!$A$8:$A$77,$J$6,'Bank income'!$B$8:$B$77,$I38)/SUMIFS('Bank income'!$C$8:$C$77,'Bank income'!$A$8:$A$77,$J$6,'Bank income'!$B$8:$B$77,1933)),"")</x:f>
        <x:v>96.09856262833675</x:v>
      </x:c>
      <x:c r="N38" s="68" t="n">
        <x:f>IF($J$31=5,IF(SUMIFS('Bank income'!$D$8:$D$77,'Bank income'!$A$8:$A$77,$J$6,'Bank income'!$B$8:$B$77,1933)=0,"",100*SUMIFS('Bank income'!$D$8:$D$77,'Bank income'!$A$8:$A$77,$J$6,'Bank income'!$B$8:$B$77,$I38)/SUMIFS('Bank income'!$D$8:$D$77,'Bank income'!$A$8:$A$77,$J$6,'Bank income'!$B$8:$B$77,1933)),"")</x:f>
        <x:v>84.13978494623655</x:v>
      </x:c>
    </x:row>
    <x:row r="39" ht="20" customHeight="1">
      <x:c r="A39" s="51"/>
      <x:c r="B39" s="66" t="n">
        <x:v>1923</x:v>
      </x:c>
      <x:c r="C39" s="68" t="n">
        <x:f>100*SUMIFS('Annual assets'!$C$8:$C$26,'Annual assets'!$A$8:$A$26,$B39)/SUMIFS('Annual assets'!$C$8:$C$26,'Annual assets'!$A$8:$A$26,$E$6)</x:f>
        <x:v>82.94316474712068</x:v>
      </x:c>
      <x:c r="D39" s="68" t="n">
        <x:f>100*SUMIFS('Annual assets'!$H$8:$H$26,'Annual assets'!$A$8:$A$26,$B39)/SUMIFS('Annual assets'!$H$8:$H$26,'Annual assets'!$A$8:$A$26,$E$6)</x:f>
        <x:v>86.33484550201148</x:v>
      </x:c>
      <x:c r="E39" s="68" t="n">
        <x:f>100*SUMIFS('Annual funding'!$E$8:$E$26,'Annual funding'!$A$8:$A$26,$B39)/SUMIFS('Annual funding'!$E$8:$E$26,'Annual funding'!$A$8:$A$26,$E$6)</x:f>
        <x:v>79.0435577215961</x:v>
      </x:c>
      <x:c r="F39" s="51"/>
      <x:c r="G39" s="51"/>
      <x:c r="H39" s="51"/>
      <x:c r="I39" s="66" t="n">
        <x:v>1937</x:v>
      </x:c>
      <x:c r="J39" s="68" t="n">
        <x:f>IF($J$31=5,IF(SUMIFS('Bank assets'!$C$8:$C$77,'Bank assets'!$A$8:$A$77,$J$6,'Bank assets'!$B$8:$B$77,1933)=0,"",100*SUMIFS('Bank assets'!$C$8:$C$77,'Bank assets'!$A$8:$A$77,$J$6,'Bank assets'!$B$8:$B$77,$I39)/SUMIFS('Bank assets'!$C$8:$C$77,'Bank assets'!$A$8:$A$77,$J$6,'Bank assets'!$B$8:$B$77,1933)),"")</x:f>
        <x:v>109.32759745555374</x:v>
      </x:c>
      <x:c r="K39" s="68" t="n">
        <x:f>IF($J$31=5,IF((SUMIFS('Bank assets'!$H$8:$H$77,'Bank assets'!$A$8:$A$77,$J$6,'Bank assets'!$B$8:$B$77,1933)+SUMIFS('Bank assets'!$E$8:$E$77,'Bank assets'!$A$8:$A$77,$J$6,'Bank assets'!$B$8:$B$77,1933))=0,"",100*(SUMIFS('Bank assets'!$H$8:$H$77,'Bank assets'!$A$8:$A$77,$J$6,'Bank assets'!$B$8:$B$77,$I39)+SUMIFS('Bank assets'!$E$8:$E$77,'Bank assets'!$A$8:$A$77,$J$6,'Bank assets'!$B$8:$B$77,$I39))/(SUMIFS('Bank assets'!$H$8:$H$77,'Bank assets'!$A$8:$A$77,$J$6,'Bank assets'!$B$8:$B$77,1933)+SUMIFS('Bank assets'!$E$8:$E$77,'Bank assets'!$A$8:$A$77,$J$6,'Bank assets'!$B$8:$B$77,1933))),"")</x:f>
        <x:v>113.67243756702926</x:v>
      </x:c>
      <x:c r="L39" s="68" t="n">
        <x:f>IF($J$31=5,IF((SUMIFS('Bank funding'!$C$8:$C$77,'Bank funding'!$A$8:$A$77,$J$6,'Bank funding'!$B$8:$B$77,1933)+SUMIFS('Bank funding'!$D$8:$D$77,'Bank funding'!$A$8:$A$77,$J$6,'Bank funding'!$B$8:$B$77,1933))=0,"",100*(SUMIFS('Bank funding'!$C$8:$C$77,'Bank funding'!$A$8:$A$77,$J$6,'Bank funding'!$B$8:$B$77,$I39)+SUMIFS('Bank funding'!$D$8:$D$77,'Bank funding'!$A$8:$A$77,$J$6,'Bank funding'!$B$8:$B$77,$I39))/(SUMIFS('Bank funding'!$C$8:$C$77,'Bank funding'!$A$8:$A$77,$J$6,'Bank funding'!$B$8:$B$77,1933)+SUMIFS('Bank funding'!$D$8:$D$77,'Bank funding'!$A$8:$A$77,$J$6,'Bank funding'!$B$8:$B$77,1933))),"")</x:f>
        <x:v>100.78364565587734</x:v>
      </x:c>
      <x:c r="M39" s="68" t="n">
        <x:f>IF($J$31=5,IF(SUMIFS('Bank income'!$C$8:$C$77,'Bank income'!$A$8:$A$77,$J$6,'Bank income'!$B$8:$B$77,1933)=0,"",100*SUMIFS('Bank income'!$C$8:$C$77,'Bank income'!$A$8:$A$77,$J$6,'Bank income'!$B$8:$B$77,$I39)/SUMIFS('Bank income'!$C$8:$C$77,'Bank income'!$A$8:$A$77,$J$6,'Bank income'!$B$8:$B$77,1933)),"")</x:f>
        <x:v>112.52566735112936</x:v>
      </x:c>
      <x:c r="N39" s="68" t="n">
        <x:f>IF($J$31=5,IF(SUMIFS('Bank income'!$D$8:$D$77,'Bank income'!$A$8:$A$77,$J$6,'Bank income'!$B$8:$B$77,1933)=0,"",100*SUMIFS('Bank income'!$D$8:$D$77,'Bank income'!$A$8:$A$77,$J$6,'Bank income'!$B$8:$B$77,$I39)/SUMIFS('Bank income'!$D$8:$D$77,'Bank income'!$A$8:$A$77,$J$6,'Bank income'!$B$8:$B$77,1933)),"")</x:f>
        <x:v>97.04301075268816</x:v>
      </x:c>
    </x:row>
    <x:row r="40" ht="20" customHeight="1">
      <x:c r="A40" s="51"/>
      <x:c r="B40" s="66" t="n">
        <x:v>1924</x:v>
      </x:c>
      <x:c r="C40" s="68" t="n">
        <x:f>100*SUMIFS('Annual assets'!$C$8:$C$26,'Annual assets'!$A$8:$A$26,$B40)/SUMIFS('Annual assets'!$C$8:$C$26,'Annual assets'!$A$8:$A$26,$E$6)</x:f>
        <x:v>80.76802704056084</x:v>
      </x:c>
      <x:c r="D40" s="68" t="n">
        <x:f>100*SUMIFS('Annual assets'!$H$8:$H$26,'Annual assets'!$A$8:$A$26,$B40)/SUMIFS('Annual assets'!$H$8:$H$26,'Annual assets'!$A$8:$A$26,$E$6)</x:f>
        <x:v>86.07806214157323</x:v>
      </x:c>
      <x:c r="E40" s="68" t="n">
        <x:f>100*SUMIFS('Annual funding'!$E$8:$E$26,'Annual funding'!$A$8:$A$26,$B40)/SUMIFS('Annual funding'!$E$8:$E$26,'Annual funding'!$A$8:$A$26,$E$6)</x:f>
        <x:v>82.72921108742004</x:v>
      </x:c>
      <x:c r="F40" s="51"/>
      <x:c r="G40" s="51"/>
      <x:c r="H40" s="51"/>
      <x:c r="I40" s="51"/>
      <x:c r="J40" s="51"/>
      <x:c r="K40" s="51"/>
      <x:c r="L40" s="51"/>
      <x:c r="M40" s="51"/>
      <x:c r="N40" s="51"/>
    </x:row>
    <x:row r="41" ht="20" customHeight="1">
      <x:c r="A41" s="51"/>
      <x:c r="B41" s="66" t="n">
        <x:v>1925</x:v>
      </x:c>
      <x:c r="C41" s="68" t="n">
        <x:f>100*SUMIFS('Annual assets'!$C$8:$C$26,'Annual assets'!$A$8:$A$26,$B41)/SUMIFS('Annual assets'!$C$8:$C$26,'Annual assets'!$A$8:$A$26,$E$6)</x:f>
        <x:v>81.46281922884326</x:v>
      </x:c>
      <x:c r="D41" s="68" t="n">
        <x:f>100*SUMIFS('Annual assets'!$H$8:$H$26,'Annual assets'!$A$8:$A$26,$B41)/SUMIFS('Annual assets'!$H$8:$H$26,'Annual assets'!$A$8:$A$26,$E$6)</x:f>
        <x:v>86.51459385431824</x:v>
      </x:c>
      <x:c r="E41" s="68" t="n">
        <x:f>100*SUMIFS('Annual funding'!$E$8:$E$26,'Annual funding'!$A$8:$A$26,$B41)/SUMIFS('Annual funding'!$E$8:$E$26,'Annual funding'!$A$8:$A$26,$E$6)</x:f>
        <x:v>84.37404812671338</x:v>
      </x:c>
      <x:c r="F41" s="51"/>
      <x:c r="G41" s="51"/>
      <x:c r="H41" s="51"/>
      <x:c r="I41" s="51"/>
      <x:c r="J41" s="51"/>
      <x:c r="K41" s="51"/>
      <x:c r="L41" s="51"/>
      <x:c r="M41" s="51"/>
      <x:c r="N41" s="51"/>
    </x:row>
    <x:row r="42" ht="20" customHeight="1">
      <x:c r="A42" s="51"/>
      <x:c r="B42" s="66" t="n">
        <x:v>1926</x:v>
      </x:c>
      <x:c r="C42" s="68" t="n">
        <x:f>100*SUMIFS('Annual assets'!$C$8:$C$26,'Annual assets'!$A$8:$A$26,$B42)/SUMIFS('Annual assets'!$C$8:$C$26,'Annual assets'!$A$8:$A$26,$E$6)</x:f>
        <x:v>82.70530796194292</x:v>
      </x:c>
      <x:c r="D42" s="68" t="n">
        <x:f>100*SUMIFS('Annual assets'!$H$8:$H$26,'Annual assets'!$A$8:$A$26,$B42)/SUMIFS('Annual assets'!$H$8:$H$26,'Annual assets'!$A$8:$A$26,$E$6)</x:f>
        <x:v>84.99529230505863</x:v>
      </x:c>
      <x:c r="E42" s="68" t="n">
        <x:f>100*SUMIFS('Annual funding'!$E$8:$E$26,'Annual funding'!$A$8:$A$26,$B42)/SUMIFS('Annual funding'!$E$8:$E$26,'Annual funding'!$A$8:$A$26,$E$6)</x:f>
        <x:v>89.97867803837953</x:v>
      </x:c>
      <x:c r="F42" s="51"/>
      <x:c r="G42" s="51"/>
      <x:c r="H42" s="51"/>
      <x:c r="I42" s="51"/>
      <x:c r="J42" s="51"/>
      <x:c r="K42" s="51"/>
      <x:c r="L42" s="51"/>
      <x:c r="M42" s="51"/>
      <x:c r="N42" s="51"/>
    </x:row>
    <x:row r="43" ht="20" customHeight="1">
      <x:c r="A43" s="51"/>
      <x:c r="B43" s="66" t="n">
        <x:v>1927</x:v>
      </x:c>
      <x:c r="C43" s="68" t="n">
        <x:f>100*SUMIFS('Annual assets'!$C$8:$C$26,'Annual assets'!$A$8:$A$26,$B43)/SUMIFS('Annual assets'!$C$8:$C$26,'Annual assets'!$A$8:$A$26,$E$6)</x:f>
        <x:v>91.80020030045067</x:v>
      </x:c>
      <x:c r="D43" s="68" t="n">
        <x:f>100*SUMIFS('Annual assets'!$H$8:$H$26,'Annual assets'!$A$8:$A$26,$B43)/SUMIFS('Annual assets'!$H$8:$H$26,'Annual assets'!$A$8:$A$26,$E$6)</x:f>
        <x:v>92.94701703329625</x:v>
      </x:c>
      <x:c r="E43" s="68" t="n">
        <x:f>100*SUMIFS('Annual funding'!$E$8:$E$26,'Annual funding'!$A$8:$A$26,$B43)/SUMIFS('Annual funding'!$E$8:$E$26,'Annual funding'!$A$8:$A$26,$E$6)</x:f>
        <x:v>90.22235759975632</x:v>
      </x:c>
      <x:c r="F43" s="51"/>
      <x:c r="G43" s="51"/>
      <x:c r="H43" s="51"/>
      <x:c r="I43" s="51"/>
      <x:c r="J43" s="51"/>
      <x:c r="K43" s="51"/>
      <x:c r="L43" s="51"/>
      <x:c r="M43" s="51"/>
      <x:c r="N43" s="51"/>
    </x:row>
    <x:row r="44" ht="20" customHeight="1">
      <x:c r="A44" s="51"/>
      <x:c r="B44" s="66" t="n">
        <x:v>1928</x:v>
      </x:c>
      <x:c r="C44" s="68" t="n">
        <x:f>100*SUMIFS('Annual assets'!$C$8:$C$26,'Annual assets'!$A$8:$A$26,$B44)/SUMIFS('Annual assets'!$C$8:$C$26,'Annual assets'!$A$8:$A$26,$E$6)</x:f>
        <x:v>97.5150225338007</x:v>
      </x:c>
      <x:c r="D44" s="68" t="n">
        <x:f>100*SUMIFS('Annual assets'!$H$8:$H$26,'Annual assets'!$A$8:$A$26,$B44)/SUMIFS('Annual assets'!$H$8:$H$26,'Annual assets'!$A$8:$A$26,$E$6)</x:f>
        <x:v>98.19823675425832</x:v>
      </x:c>
      <x:c r="E44" s="68" t="n">
        <x:f>100*SUMIFS('Annual funding'!$E$8:$E$26,'Annual funding'!$A$8:$A$26,$B44)/SUMIFS('Annual funding'!$E$8:$E$26,'Annual funding'!$A$8:$A$26,$E$6)</x:f>
        <x:v>93.23789217179409</x:v>
      </x:c>
      <x:c r="F44" s="51"/>
      <x:c r="G44" s="51"/>
      <x:c r="H44" s="51"/>
      <x:c r="I44" s="51"/>
      <x:c r="J44" s="51"/>
      <x:c r="K44" s="51"/>
      <x:c r="L44" s="51"/>
      <x:c r="M44" s="51"/>
      <x:c r="N44" s="51"/>
    </x:row>
    <x:row r="45" ht="20" customHeight="1">
      <x:c r="A45" s="51"/>
      <x:c r="B45" s="66" t="n">
        <x:v>1929</x:v>
      </x:c>
      <x:c r="C45" s="68" t="n">
        <x:f>100*SUMIFS('Annual assets'!$C$8:$C$26,'Annual assets'!$A$8:$A$26,$B45)/SUMIFS('Annual assets'!$C$8:$C$26,'Annual assets'!$A$8:$A$26,$E$6)</x:f>
        <x:v>98.10027541311968</x:v>
      </x:c>
      <x:c r="D45" s="68" t="n">
        <x:f>100*SUMIFS('Annual assets'!$H$8:$H$26,'Annual assets'!$A$8:$A$26,$B45)/SUMIFS('Annual assets'!$H$8:$H$26,'Annual assets'!$A$8:$A$26,$E$6)</x:f>
        <x:v>100.02139861336985</x:v>
      </x:c>
      <x:c r="E45" s="68" t="n">
        <x:f>100*SUMIFS('Annual funding'!$E$8:$E$26,'Annual funding'!$A$8:$A$26,$B45)/SUMIFS('Annual funding'!$E$8:$E$26,'Annual funding'!$A$8:$A$26,$E$6)</x:f>
        <x:v>98.29424307036247</x:v>
      </x:c>
      <x:c r="F45" s="51"/>
      <x:c r="G45" s="51"/>
      <x:c r="H45" s="51"/>
      <x:c r="I45" s="51"/>
      <x:c r="J45" s="51"/>
      <x:c r="K45" s="51"/>
      <x:c r="L45" s="51"/>
      <x:c r="M45" s="51"/>
      <x:c r="N45" s="51"/>
    </x:row>
    <x:row r="46" ht="20" customHeight="1">
      <x:c r="A46" s="51"/>
      <x:c r="B46" s="66" t="n">
        <x:v>1930</x:v>
      </x:c>
      <x:c r="C46" s="68" t="n">
        <x:f>100*SUMIFS('Annual assets'!$C$8:$C$26,'Annual assets'!$A$8:$A$26,$B46)/SUMIFS('Annual assets'!$C$8:$C$26,'Annual assets'!$A$8:$A$26,$E$6)</x:f>
        <x:v>100</x:v>
      </x:c>
      <x:c r="D46" s="68" t="n">
        <x:f>100*SUMIFS('Annual assets'!$H$8:$H$26,'Annual assets'!$A$8:$A$26,$B46)/SUMIFS('Annual assets'!$H$8:$H$26,'Annual assets'!$A$8:$A$26,$E$6)</x:f>
        <x:v>100</x:v>
      </x:c>
      <x:c r="E46" s="68" t="n">
        <x:f>100*SUMIFS('Annual funding'!$E$8:$E$26,'Annual funding'!$A$8:$A$26,$B46)/SUMIFS('Annual funding'!$E$8:$E$26,'Annual funding'!$A$8:$A$26,$E$6)</x:f>
        <x:v>100</x:v>
      </x:c>
      <x:c r="F46" s="51"/>
      <x:c r="G46" s="51"/>
      <x:c r="H46" s="51"/>
      <x:c r="I46" s="51"/>
      <x:c r="J46" s="51"/>
      <x:c r="K46" s="51"/>
      <x:c r="L46" s="51"/>
      <x:c r="M46" s="51"/>
      <x:c r="N46" s="51"/>
    </x:row>
    <x:row r="47" ht="20" customHeight="1">
      <x:c r="A47" s="51"/>
      <x:c r="B47" s="66" t="n">
        <x:v>1931</x:v>
      </x:c>
      <x:c r="C47" s="68" t="n">
        <x:f>100*SUMIFS('Annual assets'!$C$8:$C$26,'Annual assets'!$A$8:$A$26,$B47)/SUMIFS('Annual assets'!$C$8:$C$26,'Annual assets'!$A$8:$A$26,$E$6)</x:f>
        <x:v>84.36404606910365</x:v>
      </x:c>
      <x:c r="D47" s="68" t="n">
        <x:f>100*SUMIFS('Annual assets'!$H$8:$H$26,'Annual assets'!$A$8:$A$26,$B47)/SUMIFS('Annual assets'!$H$8:$H$26,'Annual assets'!$A$8:$A$26,$E$6)</x:f>
        <x:v>83.02234015235813</x:v>
      </x:c>
      <x:c r="E47" s="68" t="n">
        <x:f>100*SUMIFS('Annual funding'!$E$8:$E$26,'Annual funding'!$A$8:$A$26,$B47)/SUMIFS('Annual funding'!$E$8:$E$26,'Annual funding'!$A$8:$A$26,$E$6)</x:f>
        <x:v>77.49010051781907</x:v>
      </x:c>
      <x:c r="F47" s="51"/>
      <x:c r="G47" s="51"/>
      <x:c r="H47" s="51"/>
      <x:c r="I47" s="51"/>
      <x:c r="J47" s="51"/>
      <x:c r="K47" s="51"/>
      <x:c r="L47" s="51"/>
      <x:c r="M47" s="51"/>
      <x:c r="N47" s="51"/>
    </x:row>
    <x:row r="48" ht="20" customHeight="1">
      <x:c r="A48" s="51"/>
      <x:c r="B48" s="66" t="n">
        <x:v>1932</x:v>
      </x:c>
      <x:c r="C48" s="68" t="n">
        <x:f>100*SUMIFS('Annual assets'!$C$8:$C$26,'Annual assets'!$A$8:$A$26,$B48)/SUMIFS('Annual assets'!$C$8:$C$26,'Annual assets'!$A$8:$A$26,$E$6)</x:f>
        <x:v>74.2613920881322</x:v>
      </x:c>
      <x:c r="D48" s="68" t="n">
        <x:f>100*SUMIFS('Annual assets'!$H$8:$H$26,'Annual assets'!$A$8:$A$26,$B48)/SUMIFS('Annual assets'!$H$8:$H$26,'Annual assets'!$A$8:$A$26,$E$6)</x:f>
        <x:v>70.85508859025936</x:v>
      </x:c>
      <x:c r="E48" s="68" t="n">
        <x:f>100*SUMIFS('Annual funding'!$E$8:$E$26,'Annual funding'!$A$8:$A$26,$B48)/SUMIFS('Annual funding'!$E$8:$E$26,'Annual funding'!$A$8:$A$26,$E$6)</x:f>
        <x:v>66.64636003655194</x:v>
      </x:c>
      <x:c r="F48" s="51"/>
      <x:c r="G48" s="51"/>
      <x:c r="H48" s="51"/>
      <x:c r="I48" s="51"/>
      <x:c r="J48" s="51"/>
      <x:c r="K48" s="51"/>
      <x:c r="L48" s="51"/>
      <x:c r="M48" s="51"/>
      <x:c r="N48" s="51"/>
    </x:row>
    <x:row r="49" ht="20" customHeight="1">
      <x:c r="A49" s="51"/>
      <x:c r="B49" s="66" t="n">
        <x:v>1933</x:v>
      </x:c>
      <x:c r="C49" s="68" t="n">
        <x:f>100*SUMIFS('Annual assets'!$C$8:$C$26,'Annual assets'!$A$8:$A$26,$B49)/SUMIFS('Annual assets'!$C$8:$C$26,'Annual assets'!$A$8:$A$26,$E$6)</x:f>
        <x:v>70.7436154231347</x:v>
      </x:c>
      <x:c r="D49" s="68" t="n">
        <x:f>100*SUMIFS('Annual assets'!$H$8:$H$26,'Annual assets'!$A$8:$A$26,$B49)/SUMIFS('Annual assets'!$H$8:$H$26,'Annual assets'!$A$8:$A$26,$E$6)</x:f>
        <x:v>66.57964563896259</x:v>
      </x:c>
      <x:c r="E49" s="68" t="n">
        <x:f>100*SUMIFS('Annual funding'!$E$8:$E$26,'Annual funding'!$A$8:$A$26,$B49)/SUMIFS('Annual funding'!$E$8:$E$26,'Annual funding'!$A$8:$A$26,$E$6)</x:f>
        <x:v>66.76819981724033</x:v>
      </x:c>
      <x:c r="F49" s="51"/>
      <x:c r="G49" s="51"/>
      <x:c r="H49" s="51"/>
      <x:c r="I49" s="51"/>
      <x:c r="J49" s="51"/>
      <x:c r="K49" s="51"/>
      <x:c r="L49" s="51"/>
      <x:c r="M49" s="51"/>
      <x:c r="N49" s="51"/>
    </x:row>
    <x:row r="50" ht="20" customHeight="1">
      <x:c r="A50" s="51"/>
      <x:c r="B50" s="66" t="n">
        <x:v>1934</x:v>
      </x:c>
      <x:c r="C50" s="68" t="n">
        <x:f>100*SUMIFS('Annual assets'!$C$8:$C$26,'Annual assets'!$A$8:$A$26,$B50)/SUMIFS('Annual assets'!$C$8:$C$26,'Annual assets'!$A$8:$A$26,$E$6)</x:f>
        <x:v>74.43039559339009</x:v>
      </x:c>
      <x:c r="D50" s="68" t="n">
        <x:f>100*SUMIFS('Annual assets'!$H$8:$H$26,'Annual assets'!$A$8:$A$26,$B50)/SUMIFS('Annual assets'!$H$8:$H$26,'Annual assets'!$A$8:$A$26,$E$6)</x:f>
        <x:v>67.9106393905675</x:v>
      </x:c>
      <x:c r="E50" s="68" t="n">
        <x:f>100*SUMIFS('Annual funding'!$E$8:$E$26,'Annual funding'!$A$8:$A$26,$B50)/SUMIFS('Annual funding'!$E$8:$E$26,'Annual funding'!$A$8:$A$26,$E$6)</x:f>
        <x:v>67.74291806274749</x:v>
      </x:c>
      <x:c r="F50" s="51"/>
      <x:c r="G50" s="51"/>
      <x:c r="H50" s="51"/>
      <x:c r="I50" s="51"/>
      <x:c r="J50" s="51"/>
      <x:c r="K50" s="51"/>
      <x:c r="L50" s="51"/>
      <x:c r="M50" s="51"/>
      <x:c r="N50" s="51"/>
    </x:row>
    <x:row r="51" ht="20" customHeight="1">
      <x:c r="A51" s="51"/>
      <x:c r="B51" s="66" t="n">
        <x:v>1935</x:v>
      </x:c>
      <x:c r="C51" s="68" t="n">
        <x:f>100*SUMIFS('Annual assets'!$C$8:$C$26,'Annual assets'!$A$8:$A$26,$B51)/SUMIFS('Annual assets'!$C$8:$C$26,'Annual assets'!$A$8:$A$26,$E$6)</x:f>
        <x:v>76.58049574361543</x:v>
      </x:c>
      <x:c r="D51" s="68" t="n">
        <x:f>100*SUMIFS('Annual assets'!$H$8:$H$26,'Annual assets'!$A$8:$A$26,$B51)/SUMIFS('Annual assets'!$H$8:$H$26,'Annual assets'!$A$8:$A$26,$E$6)</x:f>
        <x:v>67.63673713943336</x:v>
      </x:c>
      <x:c r="E51" s="68" t="n">
        <x:f>100*SUMIFS('Annual funding'!$E$8:$E$26,'Annual funding'!$A$8:$A$26,$B51)/SUMIFS('Annual funding'!$E$8:$E$26,'Annual funding'!$A$8:$A$26,$E$6)</x:f>
        <x:v>64.14864453243985</x:v>
      </x:c>
      <x:c r="F51" s="51"/>
      <x:c r="G51" s="51"/>
      <x:c r="H51" s="51"/>
      <x:c r="I51" s="51"/>
      <x:c r="J51" s="51"/>
      <x:c r="K51" s="51"/>
      <x:c r="L51" s="51"/>
      <x:c r="M51" s="51"/>
      <x:c r="N51" s="51"/>
    </x:row>
    <x:row r="52" ht="20" customHeight="1">
      <x:c r="A52" s="51"/>
      <x:c r="B52" s="66" t="n">
        <x:v>1936</x:v>
      </x:c>
      <x:c r="C52" s="68" t="n">
        <x:f>100*SUMIFS('Annual assets'!$C$8:$C$26,'Annual assets'!$A$8:$A$26,$B52)/SUMIFS('Annual assets'!$C$8:$C$26,'Annual assets'!$A$8:$A$26,$E$6)</x:f>
        <x:v>78.66487230846269</x:v>
      </x:c>
      <x:c r="D52" s="68" t="n">
        <x:f>100*SUMIFS('Annual assets'!$H$8:$H$26,'Annual assets'!$A$8:$A$26,$B52)/SUMIFS('Annual assets'!$H$8:$H$26,'Annual assets'!$A$8:$A$26,$E$6)</x:f>
        <x:v>69.43850038517505</x:v>
      </x:c>
      <x:c r="E52" s="68" t="n">
        <x:f>100*SUMIFS('Annual funding'!$E$8:$E$26,'Annual funding'!$A$8:$A$26,$B52)/SUMIFS('Annual funding'!$E$8:$E$26,'Annual funding'!$A$8:$A$26,$E$6)</x:f>
        <x:v>64.27048431312824</x:v>
      </x:c>
      <x:c r="F52" s="51"/>
      <x:c r="G52" s="51"/>
      <x:c r="H52" s="51"/>
      <x:c r="I52" s="51"/>
      <x:c r="J52" s="51"/>
      <x:c r="K52" s="51"/>
      <x:c r="L52" s="51"/>
      <x:c r="M52" s="51"/>
      <x:c r="N52" s="51"/>
    </x:row>
    <x:row r="53" ht="20" customHeight="1">
      <x:c r="A53" s="51"/>
      <x:c r="B53" s="66" t="n">
        <x:v>1937</x:v>
      </x:c>
      <x:c r="C53" s="68" t="n">
        <x:f>100*SUMIFS('Annual assets'!$C$8:$C$26,'Annual assets'!$A$8:$A$26,$B53)/SUMIFS('Annual assets'!$C$8:$C$26,'Annual assets'!$A$8:$A$26,$E$6)</x:f>
        <x:v>82.10127691537306</x:v>
      </x:c>
      <x:c r="D53" s="68" t="n">
        <x:f>100*SUMIFS('Annual assets'!$H$8:$H$26,'Annual assets'!$A$8:$A$26,$B53)/SUMIFS('Annual assets'!$H$8:$H$26,'Annual assets'!$A$8:$A$26,$E$6)</x:f>
        <x:v>70.7309766327142</x:v>
      </x:c>
      <x:c r="E53" s="68" t="n">
        <x:f>100*SUMIFS('Annual funding'!$E$8:$E$26,'Annual funding'!$A$8:$A$26,$B53)/SUMIFS('Annual funding'!$E$8:$E$26,'Annual funding'!$A$8:$A$26,$E$6)</x:f>
        <x:v>63.356685957965276</x:v>
      </x:c>
      <x:c r="F53" s="51"/>
      <x:c r="G53" s="51"/>
      <x:c r="H53" s="51"/>
      <x:c r="I53" s="51"/>
      <x:c r="J53" s="51"/>
      <x:c r="K53" s="51"/>
      <x:c r="L53" s="51"/>
      <x:c r="M53" s="51"/>
      <x:c r="N53" s="51"/>
    </x:row>
    <x:row r="54" ht="2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</x:row>
    <x:row r="55" ht="2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dataValidations count="1">
    <x:dataValidation type="list" sqref="J6">
      <x:formula1>"agrarni,lander,ceska,union,escomp,prumyslova,moravska,plzenska,sporobanka,zivno,anglo,legio,deutagr,vseobdruz"</x:formula1>
    </x:dataValidation>
  </x:dataValidations>
  <x:pageMargins left="0.7" right="0.7" top="0.75" bottom="0.75" header="0.3" footer="0.3"/>
  <x:drawing xmlns:r="http://schemas.openxmlformats.org/officeDocument/2006/relationships" r:id="R2d3c8638264f4aa1"/>
</x:worksheet>
</file>

<file path=xl/worksheets/sheet2.xml><?xml version="1.0" encoding="utf-8"?>
<x:worksheet xmlns:x="http://schemas.openxmlformats.org/spreadsheetml/2006/main">
  <x:sheetPr>
    <x:tabColor rgb="FF7A2E34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91.1100006103515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Using the banking dataset workbook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Version 0.1.0. Public release, 29 October 2026.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Primary scope: joint-stock commercial banking in Bohemia, Moravia and Silesia.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Topic</x:v>
      </x:c>
      <x:c r="B7" s="17" t="str">
        <x:v>Definition or use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9" t="str">
        <x:v>Core annual series</x:v>
      </x:c>
      <x:c r="B8" s="41" t="str">
        <x:v>19 annual observations, 1919–1937. The League aggregate has changing membership.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5" customHeight="1">
      <x:c r="A9" s="31" t="str">
        <x:v>Bank panel</x:v>
      </x:c>
      <x:c r="B9" s="42" t="str">
        <x:v>70 bank-year observations: 14 named institutions observed in each year, 1933–1937.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6" customHeight="1">
      <x:c r="A10" s="29" t="str">
        <x:v>Units</x:v>
      </x:c>
      <x:c r="B10" s="41" t="str">
        <x:v>Account stocks and income flows are nominal millions of Czechoslovak crowns (Kč), unless a header states another unit. Decimal values are displayed to three places; cells retain full precision.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5" customHeight="1">
      <x:c r="A11" s="31" t="str">
        <x:v>Ratio units</x:v>
      </x:c>
      <x:c r="B11" s="42" t="str">
        <x:v>Ratios are stored in percentage units: 9.70 means 9.70 per cent. Charts use fixed-base indices.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6" customHeight="1">
      <x:c r="A12" s="29" t="str">
        <x:v>Missing values</x:v>
      </x:c>
      <x:c r="B12" s="41" t="str">
        <x:v>Blank means unavailable or not comparable. It is never an implicit zero. The national 1929 roster separately preserves its printed-dash convention.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A13" s="31" t="str">
        <x:v>1919 deposits</x:v>
      </x:c>
      <x:c r="B13" s="42" t="str">
        <x:v>Original reported deposits are 10,740 million Kč and include unseparated bank creditors. Comparable deposits and related ratios are blank.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6" customHeight="1">
      <x:c r="A14" s="29" t="str">
        <x:v>1936 income</x:v>
      </x:c>
      <x:c r="B14" s="41" t="str">
        <x:v>Income counts 22 banks; balance sheets count 23. Income divided by assets is therefore suppressed in that year. Equal counts in other years do not prove identical membership.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6" customHeight="1">
      <x:c r="A15" s="31" t="str">
        <x:v>Source categories</x:v>
      </x:c>
      <x:c r="B15" s="42" t="str">
        <x:v>Loans, bills, cash, creditors and deposits retain the published category boundaries. They do not isolate domestic nonfinancial-customer credit or economic loss-bearing capital.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A16" s="29" t="str">
        <x:v>Population comparison</x:v>
      </x:c>
      <x:c r="B16" s="41" t="str">
        <x:v>The fixed handbook cohort and the changing League aggregate are separate datasets. The 1929 crosswalk measures a dated national footprint.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A17" s="31" t="str">
        <x:v>Handbook edition</x:v>
      </x:c>
      <x:c r="B17" s="42" t="str">
        <x:v>Bank tables were read from a modern retyping of Kašpar’s handbook, with PDF metadata dated 2006. Original annual reports have not been verified.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6" customHeight="1">
      <x:c r="A18" s="29" t="str">
        <x:v>Workbook controls</x:v>
      </x:c>
      <x:c r="B18" s="41" t="str">
        <x:v>The bank selector on Explore changes the selected institution. Account tables remain visible, unprotected source values. Formulas use year and bank keys.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6" customHeight="1">
      <x:c r="A19" s="31" t="str">
        <x:v>Canonical release</x:v>
      </x:c>
      <x:c r="B19" s="42" t="str">
        <x:v>CSV files preserve the canonical field names, full detail, long observations and cell-level lineage. This workbook partitions account fields into readable views.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6" customHeight="1">
      <x:c r="A20" s="29" t="str">
        <x:v>Price context</x:v>
      </x:c>
      <x:c r="B20" s="41" t="str">
        <x:v>CPI and WPI are distinct price concepts. The stock-date WPI proxy uses the following 1 January. Raw source indices and 1929=100 versions remain separate.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31" t="str">
        <x:v>Rebuild</x:v>
      </x:c>
      <x:c r="B21" s="42" t="str">
        <x:v>Run code/build_dataset.py for the CSV release, then code/build_workbook.mjs with the artifact-tool Node runtime.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39" t="str">
        <x:v>Workbook navigation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48" customHeight="1">
      <x:c r="A27" s="15" t="str">
        <x:v>Worksheet</x:v>
      </x:c>
      <x:c r="B27" s="17" t="str">
        <x:v>Contents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49" t="str">
        <x:v>Explore</x:v>
      </x:c>
      <x:c r="B28" s="29" t="str">
        <x:v>Two historical charts and a bank selector.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50" t="str">
        <x:v>Annual assets</x:v>
      </x:c>
      <x:c r="B29" s="31" t="str">
        <x:v>Assets, credit categories and balance-sheet counts.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49" t="str">
        <x:v>Annual funding</x:v>
      </x:c>
      <x:c r="B30" s="29" t="str">
        <x:v>Liabilities, original deposits and published capital.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50" t="str">
        <x:v>Annual income</x:v>
      </x:c>
      <x:c r="B31" s="31" t="str">
        <x:v>Income, expenses, dividends and source counts.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49" t="str">
        <x:v>Annual ratios</x:v>
      </x:c>
      <x:c r="B32" s="29" t="str">
        <x:v>Formula-based ratios with explicit population exclusions.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50" t="str">
        <x:v>Bank assets</x:v>
      </x:c>
      <x:c r="B33" s="31" t="str">
        <x:v>The 70 bank-year asset observations.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49" t="str">
        <x:v>Bank funding</x:v>
      </x:c>
      <x:c r="B34" s="29" t="str">
        <x:v>The 70 bank-year funding and capital observations.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50" t="str">
        <x:v>Bank income</x:v>
      </x:c>
      <x:c r="B35" s="31" t="str">
        <x:v>The 70 bank-year income observations.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49" t="str">
        <x:v>Bank ratios</x:v>
      </x:c>
      <x:c r="B36" s="29" t="str">
        <x:v>Formula-based capital, portfolio and income measures.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50" t="str">
        <x:v>Monetary context</x:v>
      </x:c>
      <x:c r="B37" s="31" t="str">
        <x:v>Central-bank accounts and price observations.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49" t="str">
        <x:v>Institutions</x:v>
      </x:c>
      <x:c r="B38" s="29" t="str">
        <x:v>Stable IDs, national roster and dated coverage.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50" t="str">
        <x:v>Dictionary</x:v>
      </x:c>
      <x:c r="B39" s="31" t="str">
        <x:v>Full public-variable definitions and source mapping.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49" t="str">
        <x:v>Source notes</x:v>
      </x:c>
      <x:c r="B40" s="29" t="str">
        <x:v>Publication identities, record flags and source-page locators.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2">
    <x:tablePart xmlns:r="http://schemas.openxmlformats.org/officeDocument/2006/relationships" r:id="R69f84f55a8ac4346"/>
    <x:tablePart xmlns:r="http://schemas.openxmlformats.org/officeDocument/2006/relationships" r:id="R2ed3483e4a8844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Aggregate assets, 1919–1937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League of Nations changing joint-stock-bank aggregate. Source IDs and entry locators: Source notes.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Year</x:v>
      </x:c>
      <x:c r="B7" s="16" t="str">
        <x:v>Balance-sheet banks</x:v>
      </x:c>
      <x:c r="C7" s="16" t="str">
        <x:v>Total assets</x:v>
      </x:c>
      <x:c r="D7" s="16" t="str">
        <x:v>Broad cash</x:v>
      </x:c>
      <x:c r="E7" s="16" t="str">
        <x:v>Loans and advances</x:v>
      </x:c>
      <x:c r="F7" s="16" t="str">
        <x:v>Discounted bills</x:v>
      </x:c>
      <x:c r="G7" s="16" t="str">
        <x:v>Loans in sundry assets</x:v>
      </x:c>
      <x:c r="H7" s="16" t="str">
        <x:v>Loans and bills</x:v>
      </x:c>
      <x:c r="I7" s="16" t="str">
        <x:v>Extended credit</x:v>
      </x:c>
      <x:c r="J7" s="16" t="str">
        <x:v>Securities</x:v>
      </x:c>
      <x:c r="K7" s="16" t="str">
        <x:v>Participations</x:v>
      </x:c>
      <x:c r="L7" s="16" t="str">
        <x:v>Premises</x:v>
      </x:c>
      <x:c r="M7" s="17" t="str">
        <x:v>Sundry assets</x:v>
      </x:c>
      <x:c r="N7" s="2"/>
    </x:row>
    <x:row r="8" ht="22" customHeight="1">
      <x:c r="A8" s="19" t="n">
        <x:v>1919</x:v>
      </x:c>
      <x:c r="B8" s="19" t="n">
        <x:v>28</x:v>
      </x:c>
      <x:c r="C8" s="21" t="n">
        <x:v>12466</x:v>
      </x:c>
      <x:c r="D8" s="21" t="n">
        <x:v>2384</x:v>
      </x:c>
      <x:c r="E8" s="21" t="n">
        <x:v>8551</x:v>
      </x:c>
      <x:c r="F8" s="21" t="n">
        <x:v>421</x:v>
      </x:c>
      <x:c r="G8" s="21" t="n">
        <x:v>99</x:v>
      </x:c>
      <x:c r="H8" s="21" t="n">
        <x:v>8972</x:v>
      </x:c>
      <x:c r="I8" s="21" t="n">
        <x:v>9071</x:v>
      </x:c>
      <x:c r="J8" s="21" t="n">
        <x:v>420</x:v>
      </x:c>
      <x:c r="K8" s="21" t="n">
        <x:v>193</x:v>
      </x:c>
      <x:c r="L8" s="21" t="n">
        <x:v>84</x:v>
      </x:c>
      <x:c r="M8" s="21" t="n">
        <x:v>413</x:v>
      </x:c>
      <x:c r="N8" s="2"/>
    </x:row>
    <x:row r="9" ht="22" customHeight="1">
      <x:c r="A9" s="22" t="n">
        <x:v>1920</x:v>
      </x:c>
      <x:c r="B9" s="22" t="n">
        <x:v>37</x:v>
      </x:c>
      <x:c r="C9" s="23" t="n">
        <x:v>18977</x:v>
      </x:c>
      <x:c r="D9" s="23" t="n">
        <x:v>2431</x:v>
      </x:c>
      <x:c r="E9" s="23" t="n">
        <x:v>12673</x:v>
      </x:c>
      <x:c r="F9" s="23" t="n">
        <x:v>1336</x:v>
      </x:c>
      <x:c r="G9" s="23" t="n">
        <x:v>101</x:v>
      </x:c>
      <x:c r="H9" s="23" t="n">
        <x:v>14009</x:v>
      </x:c>
      <x:c r="I9" s="23" t="n">
        <x:v>14110</x:v>
      </x:c>
      <x:c r="J9" s="23" t="n">
        <x:v>1212</x:v>
      </x:c>
      <x:c r="K9" s="23" t="n">
        <x:v>377</x:v>
      </x:c>
      <x:c r="L9" s="23" t="n">
        <x:v>184</x:v>
      </x:c>
      <x:c r="M9" s="23" t="n">
        <x:v>755</x:v>
      </x:c>
      <x:c r="N9" s="2"/>
    </x:row>
    <x:row r="10" ht="22" customHeight="1">
      <x:c r="A10" s="19" t="n">
        <x:v>1921</x:v>
      </x:c>
      <x:c r="B10" s="19" t="n">
        <x:v>40</x:v>
      </x:c>
      <x:c r="C10" s="21" t="n">
        <x:v>24782</x:v>
      </x:c>
      <x:c r="D10" s="21" t="n">
        <x:v>2685</x:v>
      </x:c>
      <x:c r="E10" s="21" t="n">
        <x:v>16983</x:v>
      </x:c>
      <x:c r="F10" s="21" t="n">
        <x:v>2596</x:v>
      </x:c>
      <x:c r="G10" s="21" t="n">
        <x:v>108</x:v>
      </x:c>
      <x:c r="H10" s="21" t="n">
        <x:v>19579</x:v>
      </x:c>
      <x:c r="I10" s="21" t="n">
        <x:v>19687</x:v>
      </x:c>
      <x:c r="J10" s="21" t="n">
        <x:v>759</x:v>
      </x:c>
      <x:c r="K10" s="21" t="n">
        <x:v>518</x:v>
      </x:c>
      <x:c r="L10" s="21" t="n">
        <x:v>201</x:v>
      </x:c>
      <x:c r="M10" s="21" t="n">
        <x:v>896</x:v>
      </x:c>
      <x:c r="N10" s="2"/>
    </x:row>
    <x:row r="11" ht="22" customHeight="1">
      <x:c r="A11" s="22" t="n">
        <x:v>1922</x:v>
      </x:c>
      <x:c r="B11" s="22" t="n">
        <x:v>37</x:v>
      </x:c>
      <x:c r="C11" s="23" t="n">
        <x:v>27455</x:v>
      </x:c>
      <x:c r="D11" s="23" t="n">
        <x:v>2779</x:v>
      </x:c>
      <x:c r="E11" s="23" t="n">
        <x:v>19491</x:v>
      </x:c>
      <x:c r="F11" s="23" t="n">
        <x:v>2411</x:v>
      </x:c>
      <x:c r="G11" s="23" t="n">
        <x:v>197</x:v>
      </x:c>
      <x:c r="H11" s="23" t="n">
        <x:v>21902</x:v>
      </x:c>
      <x:c r="I11" s="23" t="n">
        <x:v>22099</x:v>
      </x:c>
      <x:c r="J11" s="23" t="n">
        <x:v>1292</x:v>
      </x:c>
      <x:c r="K11" s="23" t="n">
        <x:v>396</x:v>
      </x:c>
      <x:c r="L11" s="23" t="n">
        <x:v>270</x:v>
      </x:c>
      <x:c r="M11" s="23" t="n">
        <x:v>794</x:v>
      </x:c>
      <x:c r="N11" s="2"/>
    </x:row>
    <x:row r="12" ht="22" customHeight="1">
      <x:c r="A12" s="19" t="n">
        <x:v>1923</x:v>
      </x:c>
      <x:c r="B12" s="19" t="n">
        <x:v>34</x:v>
      </x:c>
      <x:c r="C12" s="21" t="n">
        <x:v>26502</x:v>
      </x:c>
      <x:c r="D12" s="21" t="n">
        <x:v>2223</x:v>
      </x:c>
      <x:c r="E12" s="21" t="n">
        <x:v>17655</x:v>
      </x:c>
      <x:c r="F12" s="21" t="n">
        <x:v>2518</x:v>
      </x:c>
      <x:c r="G12" s="21" t="n">
        <x:v>194</x:v>
      </x:c>
      <x:c r="H12" s="21" t="n">
        <x:v>20173</x:v>
      </x:c>
      <x:c r="I12" s="21" t="n">
        <x:v>20367</x:v>
      </x:c>
      <x:c r="J12" s="21" t="n">
        <x:v>2545</x:v>
      </x:c>
      <x:c r="K12" s="21" t="n">
        <x:v>442</x:v>
      </x:c>
      <x:c r="L12" s="21" t="n">
        <x:v>294</x:v>
      </x:c>
      <x:c r="M12" s="21" t="n">
        <x:v>814</x:v>
      </x:c>
      <x:c r="N12" s="2"/>
    </x:row>
    <x:row r="13" ht="22" customHeight="1">
      <x:c r="A13" s="22" t="n">
        <x:v>1924</x:v>
      </x:c>
      <x:c r="B13" s="22" t="n">
        <x:v>33</x:v>
      </x:c>
      <x:c r="C13" s="23" t="n">
        <x:v>25807</x:v>
      </x:c>
      <x:c r="D13" s="23" t="n">
        <x:v>2338</x:v>
      </x:c>
      <x:c r="E13" s="23" t="n">
        <x:v>17865</x:v>
      </x:c>
      <x:c r="F13" s="23" t="n">
        <x:v>2248</x:v>
      </x:c>
      <x:c r="G13" s="23" t="n">
        <x:v>195</x:v>
      </x:c>
      <x:c r="H13" s="23" t="n">
        <x:v>20113</x:v>
      </x:c>
      <x:c r="I13" s="23" t="n">
        <x:v>20308</x:v>
      </x:c>
      <x:c r="J13" s="23" t="n">
        <x:v>1865</x:v>
      </x:c>
      <x:c r="K13" s="23" t="n">
        <x:v>477</x:v>
      </x:c>
      <x:c r="L13" s="23" t="n">
        <x:v>329</x:v>
      </x:c>
      <x:c r="M13" s="23" t="n">
        <x:v>675</x:v>
      </x:c>
      <x:c r="N13" s="2"/>
    </x:row>
    <x:row r="14" ht="22" customHeight="1">
      <x:c r="A14" s="19" t="n">
        <x:v>1925</x:v>
      </x:c>
      <x:c r="B14" s="19" t="n">
        <x:v>32</x:v>
      </x:c>
      <x:c r="C14" s="21" t="n">
        <x:v>26029</x:v>
      </x:c>
      <x:c r="D14" s="21" t="n">
        <x:v>2556</x:v>
      </x:c>
      <x:c r="E14" s="21" t="n">
        <x:v>17786</x:v>
      </x:c>
      <x:c r="F14" s="21" t="n">
        <x:v>2429</x:v>
      </x:c>
      <x:c r="G14" s="21" t="n">
        <x:v>192</x:v>
      </x:c>
      <x:c r="H14" s="21" t="n">
        <x:v>20215</x:v>
      </x:c>
      <x:c r="I14" s="21" t="n">
        <x:v>20407</x:v>
      </x:c>
      <x:c r="J14" s="21" t="n">
        <x:v>1785</x:v>
      </x:c>
      <x:c r="K14" s="21" t="n">
        <x:v>482</x:v>
      </x:c>
      <x:c r="L14" s="21" t="n">
        <x:v>343</x:v>
      </x:c>
      <x:c r="M14" s="21" t="n">
        <x:v>637</x:v>
      </x:c>
      <x:c r="N14" s="2"/>
    </x:row>
    <x:row r="15" ht="22" customHeight="1">
      <x:c r="A15" s="22" t="n">
        <x:v>1926</x:v>
      </x:c>
      <x:c r="B15" s="22" t="n">
        <x:v>31</x:v>
      </x:c>
      <x:c r="C15" s="23" t="n">
        <x:v>26426</x:v>
      </x:c>
      <x:c r="D15" s="23" t="n">
        <x:v>2541</x:v>
      </x:c>
      <x:c r="E15" s="23" t="n">
        <x:v>17165</x:v>
      </x:c>
      <x:c r="F15" s="23" t="n">
        <x:v>2695</x:v>
      </x:c>
      <x:c r="G15" s="23" t="n">
        <x:v>192</x:v>
      </x:c>
      <x:c r="H15" s="23" t="n">
        <x:v>19860</x:v>
      </x:c>
      <x:c r="I15" s="23" t="n">
        <x:v>20052</x:v>
      </x:c>
      <x:c r="J15" s="23" t="n">
        <x:v>2150</x:v>
      </x:c>
      <x:c r="K15" s="23" t="n">
        <x:v>823</x:v>
      </x:c>
      <x:c r="L15" s="23" t="n">
        <x:v>356</x:v>
      </x:c>
      <x:c r="M15" s="23" t="n">
        <x:v>696</x:v>
      </x:c>
      <x:c r="N15" s="2"/>
    </x:row>
    <x:row r="16" ht="22" customHeight="1">
      <x:c r="A16" s="19" t="n">
        <x:v>1927</x:v>
      </x:c>
      <x:c r="B16" s="19" t="n">
        <x:v>27</x:v>
      </x:c>
      <x:c r="C16" s="21" t="n">
        <x:v>29332</x:v>
      </x:c>
      <x:c r="D16" s="21" t="n">
        <x:v>2943</x:v>
      </x:c>
      <x:c r="E16" s="21" t="n">
        <x:v>19042</x:v>
      </x:c>
      <x:c r="F16" s="21" t="n">
        <x:v>2676</x:v>
      </x:c>
      <x:c r="G16" s="21" t="n">
        <x:v>207</x:v>
      </x:c>
      <x:c r="H16" s="21" t="n">
        <x:v>21718</x:v>
      </x:c>
      <x:c r="I16" s="21" t="n">
        <x:v>21925</x:v>
      </x:c>
      <x:c r="J16" s="21" t="n">
        <x:v>2771</x:v>
      </x:c>
      <x:c r="K16" s="21" t="n">
        <x:v>878</x:v>
      </x:c>
      <x:c r="L16" s="21" t="n">
        <x:v>352</x:v>
      </x:c>
      <x:c r="M16" s="21" t="n">
        <x:v>670</x:v>
      </x:c>
      <x:c r="N16" s="2"/>
    </x:row>
    <x:row r="17" ht="22" customHeight="1">
      <x:c r="A17" s="22" t="n">
        <x:v>1928</x:v>
      </x:c>
      <x:c r="B17" s="22" t="n">
        <x:v>27</x:v>
      </x:c>
      <x:c r="C17" s="23" t="n">
        <x:v>31158</x:v>
      </x:c>
      <x:c r="D17" s="23" t="n">
        <x:v>3235</x:v>
      </x:c>
      <x:c r="E17" s="23" t="n">
        <x:v>20275</x:v>
      </x:c>
      <x:c r="F17" s="23" t="n">
        <x:v>2670</x:v>
      </x:c>
      <x:c r="G17" s="23" t="n">
        <x:v>219</x:v>
      </x:c>
      <x:c r="H17" s="23" t="n">
        <x:v>22945</x:v>
      </x:c>
      <x:c r="I17" s="23" t="n">
        <x:v>23164</x:v>
      </x:c>
      <x:c r="J17" s="23" t="n">
        <x:v>2944</x:v>
      </x:c>
      <x:c r="K17" s="23" t="n">
        <x:v>940</x:v>
      </x:c>
      <x:c r="L17" s="23" t="n">
        <x:v>385</x:v>
      </x:c>
      <x:c r="M17" s="23" t="n">
        <x:v>709</x:v>
      </x:c>
      <x:c r="N17" s="2"/>
    </x:row>
    <x:row r="18" ht="22" customHeight="1">
      <x:c r="A18" s="19" t="n">
        <x:v>1929</x:v>
      </x:c>
      <x:c r="B18" s="19" t="n">
        <x:v>22</x:v>
      </x:c>
      <x:c r="C18" s="21" t="n">
        <x:v>31345</x:v>
      </x:c>
      <x:c r="D18" s="21" t="n">
        <x:v>3054</x:v>
      </x:c>
      <x:c r="E18" s="21" t="n">
        <x:v>20643</x:v>
      </x:c>
      <x:c r="F18" s="21" t="n">
        <x:v>2728</x:v>
      </x:c>
      <x:c r="G18" s="21" t="n">
        <x:v>272</x:v>
      </x:c>
      <x:c r="H18" s="21" t="n">
        <x:v>23371</x:v>
      </x:c>
      <x:c r="I18" s="21" t="n">
        <x:v>23643</x:v>
      </x:c>
      <x:c r="J18" s="21" t="n">
        <x:v>2725</x:v>
      </x:c>
      <x:c r="K18" s="21" t="n">
        <x:v>1054</x:v>
      </x:c>
      <x:c r="L18" s="21" t="n">
        <x:v>385</x:v>
      </x:c>
      <x:c r="M18" s="21" t="n">
        <x:v>756</x:v>
      </x:c>
      <x:c r="N18" s="2"/>
    </x:row>
    <x:row r="19" ht="22" customHeight="1">
      <x:c r="A19" s="22" t="n">
        <x:v>1930</x:v>
      </x:c>
      <x:c r="B19" s="22" t="n">
        <x:v>23</x:v>
      </x:c>
      <x:c r="C19" s="23" t="n">
        <x:v>31952</x:v>
      </x:c>
      <x:c r="D19" s="23" t="n">
        <x:v>3159</x:v>
      </x:c>
      <x:c r="E19" s="23" t="n">
        <x:v>20548</x:v>
      </x:c>
      <x:c r="F19" s="23" t="n">
        <x:v>2818</x:v>
      </x:c>
      <x:c r="G19" s="23" t="n">
        <x:v>368</x:v>
      </x:c>
      <x:c r="H19" s="23" t="n">
        <x:v>23366</x:v>
      </x:c>
      <x:c r="I19" s="23" t="n">
        <x:v>23734</x:v>
      </x:c>
      <x:c r="J19" s="23" t="n">
        <x:v>3044</x:v>
      </x:c>
      <x:c r="K19" s="23" t="n">
        <x:v>1100</x:v>
      </x:c>
      <x:c r="L19" s="23" t="n">
        <x:v>415</x:v>
      </x:c>
      <x:c r="M19" s="23" t="n">
        <x:v>868</x:v>
      </x:c>
      <x:c r="N19" s="2"/>
    </x:row>
    <x:row r="20" ht="22" customHeight="1">
      <x:c r="A20" s="19" t="n">
        <x:v>1931</x:v>
      </x:c>
      <x:c r="B20" s="19" t="n">
        <x:v>23</x:v>
      </x:c>
      <x:c r="C20" s="21" t="n">
        <x:v>26956</x:v>
      </x:c>
      <x:c r="D20" s="21" t="n">
        <x:v>1933</x:v>
      </x:c>
      <x:c r="E20" s="21" t="n">
        <x:v>17242</x:v>
      </x:c>
      <x:c r="F20" s="21" t="n">
        <x:v>2157</x:v>
      </x:c>
      <x:c r="G20" s="21" t="n">
        <x:v>485</x:v>
      </x:c>
      <x:c r="H20" s="21" t="n">
        <x:v>19399</x:v>
      </x:c>
      <x:c r="I20" s="21" t="n">
        <x:v>19884</x:v>
      </x:c>
      <x:c r="J20" s="21" t="n">
        <x:v>3419</x:v>
      </x:c>
      <x:c r="K20" s="21" t="n">
        <x:v>821</x:v>
      </x:c>
      <x:c r="L20" s="21" t="n">
        <x:v>531</x:v>
      </x:c>
      <x:c r="M20" s="21" t="n">
        <x:v>853</x:v>
      </x:c>
      <x:c r="N20" s="2"/>
    </x:row>
    <x:row r="21" ht="22" customHeight="1">
      <x:c r="A21" s="22" t="n">
        <x:v>1932</x:v>
      </x:c>
      <x:c r="B21" s="22" t="n">
        <x:v>22</x:v>
      </x:c>
      <x:c r="C21" s="23" t="n">
        <x:v>23728</x:v>
      </x:c>
      <x:c r="D21" s="23" t="n">
        <x:v>2697</x:v>
      </x:c>
      <x:c r="E21" s="23" t="n">
        <x:v>14639</x:v>
      </x:c>
      <x:c r="F21" s="23" t="n">
        <x:v>1917</x:v>
      </x:c>
      <x:c r="G21" s="23" t="n">
        <x:v>173</x:v>
      </x:c>
      <x:c r="H21" s="23" t="n">
        <x:v>16556</x:v>
      </x:c>
      <x:c r="I21" s="23" t="n">
        <x:v>16729</x:v>
      </x:c>
      <x:c r="J21" s="23" t="n">
        <x:v>2631</x:v>
      </x:c>
      <x:c r="K21" s="23" t="n">
        <x:v>801</x:v>
      </x:c>
      <x:c r="L21" s="23" t="n">
        <x:v>516</x:v>
      </x:c>
      <x:c r="M21" s="23" t="n">
        <x:v>527</x:v>
      </x:c>
      <x:c r="N21" s="2"/>
    </x:row>
    <x:row r="22" ht="22" customHeight="1">
      <x:c r="A22" s="19" t="n">
        <x:v>1933</x:v>
      </x:c>
      <x:c r="B22" s="19" t="n">
        <x:v>22</x:v>
      </x:c>
      <x:c r="C22" s="21" t="n">
        <x:v>22604</x:v>
      </x:c>
      <x:c r="D22" s="21" t="n">
        <x:v>2464</x:v>
      </x:c>
      <x:c r="E22" s="21" t="n">
        <x:v>13599</x:v>
      </x:c>
      <x:c r="F22" s="21" t="n">
        <x:v>1958</x:v>
      </x:c>
      <x:c r="G22" s="21" t="n">
        <x:v>168</x:v>
      </x:c>
      <x:c r="H22" s="21" t="n">
        <x:v>15557</x:v>
      </x:c>
      <x:c r="I22" s="21" t="n">
        <x:v>15725</x:v>
      </x:c>
      <x:c r="J22" s="21" t="n">
        <x:v>2745</x:v>
      </x:c>
      <x:c r="K22" s="21" t="n">
        <x:v>793</x:v>
      </x:c>
      <x:c r="L22" s="21" t="n">
        <x:v>557</x:v>
      </x:c>
      <x:c r="M22" s="21" t="n">
        <x:v>488</x:v>
      </x:c>
      <x:c r="N22" s="2"/>
    </x:row>
    <x:row r="23" ht="22" customHeight="1">
      <x:c r="A23" s="22" t="n">
        <x:v>1934</x:v>
      </x:c>
      <x:c r="B23" s="22" t="n">
        <x:v>23</x:v>
      </x:c>
      <x:c r="C23" s="23" t="n">
        <x:v>23782</x:v>
      </x:c>
      <x:c r="D23" s="23" t="n">
        <x:v>2679</x:v>
      </x:c>
      <x:c r="E23" s="23" t="n">
        <x:v>13894</x:v>
      </x:c>
      <x:c r="F23" s="23" t="n">
        <x:v>1974</x:v>
      </x:c>
      <x:c r="G23" s="23" t="n">
        <x:v>525</x:v>
      </x:c>
      <x:c r="H23" s="23" t="n">
        <x:v>15868</x:v>
      </x:c>
      <x:c r="I23" s="23" t="n">
        <x:v>16393</x:v>
      </x:c>
      <x:c r="J23" s="23" t="n">
        <x:v>2855</x:v>
      </x:c>
      <x:c r="K23" s="23" t="n">
        <x:v>791</x:v>
      </x:c>
      <x:c r="L23" s="23" t="n">
        <x:v>566</x:v>
      </x:c>
      <x:c r="M23" s="23" t="n">
        <x:v>1023</x:v>
      </x:c>
      <x:c r="N23" s="2"/>
    </x:row>
    <x:row r="24" ht="22" customHeight="1">
      <x:c r="A24" s="19" t="n">
        <x:v>1935</x:v>
      </x:c>
      <x:c r="B24" s="19" t="n">
        <x:v>23</x:v>
      </x:c>
      <x:c r="C24" s="21" t="n">
        <x:v>24469</x:v>
      </x:c>
      <x:c r="D24" s="21" t="n">
        <x:v>3234</x:v>
      </x:c>
      <x:c r="E24" s="21" t="n">
        <x:v>13547</x:v>
      </x:c>
      <x:c r="F24" s="21" t="n">
        <x:v>2257</x:v>
      </x:c>
      <x:c r="G24" s="21" t="n">
        <x:v>517</x:v>
      </x:c>
      <x:c r="H24" s="21" t="n">
        <x:v>15804</x:v>
      </x:c>
      <x:c r="I24" s="21" t="n">
        <x:v>16321</x:v>
      </x:c>
      <x:c r="J24" s="21" t="n">
        <x:v>2988</x:v>
      </x:c>
      <x:c r="K24" s="21" t="n">
        <x:v>802</x:v>
      </x:c>
      <x:c r="L24" s="21" t="n">
        <x:v>541</x:v>
      </x:c>
      <x:c r="M24" s="21" t="n">
        <x:v>1100</x:v>
      </x:c>
      <x:c r="N24" s="2"/>
    </x:row>
    <x:row r="25" ht="22" customHeight="1">
      <x:c r="A25" s="22" t="n">
        <x:v>1936</x:v>
      </x:c>
      <x:c r="B25" s="22" t="n">
        <x:v>23</x:v>
      </x:c>
      <x:c r="C25" s="23" t="n">
        <x:v>25135</x:v>
      </x:c>
      <x:c r="D25" s="23" t="n">
        <x:v>3040</x:v>
      </x:c>
      <x:c r="E25" s="23" t="n">
        <x:v>13805</x:v>
      </x:c>
      <x:c r="F25" s="23" t="n">
        <x:v>2420</x:v>
      </x:c>
      <x:c r="G25" s="23" t="n">
        <x:v>514</x:v>
      </x:c>
      <x:c r="H25" s="23" t="n">
        <x:v>16225</x:v>
      </x:c>
      <x:c r="I25" s="23" t="n">
        <x:v>16739</x:v>
      </x:c>
      <x:c r="J25" s="23" t="n">
        <x:v>3174</x:v>
      </x:c>
      <x:c r="K25" s="23" t="n">
        <x:v>810</x:v>
      </x:c>
      <x:c r="L25" s="23" t="n">
        <x:v>541</x:v>
      </x:c>
      <x:c r="M25" s="23" t="n">
        <x:v>1345</x:v>
      </x:c>
      <x:c r="N25" s="2"/>
    </x:row>
    <x:row r="26" ht="22" customHeight="1">
      <x:c r="A26" s="19" t="n">
        <x:v>1937</x:v>
      </x:c>
      <x:c r="B26" s="19" t="n">
        <x:v>22</x:v>
      </x:c>
      <x:c r="C26" s="21" t="n">
        <x:v>26233</x:v>
      </x:c>
      <x:c r="D26" s="21" t="n">
        <x:v>3443</x:v>
      </x:c>
      <x:c r="E26" s="21" t="n">
        <x:v>14084</x:v>
      </x:c>
      <x:c r="F26" s="21" t="n">
        <x:v>2443</x:v>
      </x:c>
      <x:c r="G26" s="21" t="n">
        <x:v>516</x:v>
      </x:c>
      <x:c r="H26" s="21" t="n">
        <x:v>16527</x:v>
      </x:c>
      <x:c r="I26" s="21" t="n">
        <x:v>17043</x:v>
      </x:c>
      <x:c r="J26" s="21" t="n">
        <x:v>3587</x:v>
      </x:c>
      <x:c r="K26" s="21" t="n">
        <x:v>827</x:v>
      </x:c>
      <x:c r="L26" s="21" t="n">
        <x:v>545</x:v>
      </x:c>
      <x:c r="M26" s="21" t="n">
        <x:v>1304</x:v>
      </x:c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1bd6b6171b7445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Aggregate funding and published capital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2"/>
      <x:c r="M3" s="2"/>
      <x:c r="N3" s="2"/>
    </x:row>
    <x:row r="4" ht="20" customHeight="1">
      <x:c r="A4" s="6" t="str">
        <x:v>The 1919 original deposit total includes unseparated bank creditors. Comparable deposits remain blank.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Year</x:v>
      </x:c>
      <x:c r="B7" s="16" t="str">
        <x:v>Balance-sheet banks</x:v>
      </x:c>
      <x:c r="C7" s="16" t="str">
        <x:v>Paid share capital</x:v>
      </x:c>
      <x:c r="D7" s="16" t="str">
        <x:v>Loss-cover reserves</x:v>
      </x:c>
      <x:c r="E7" s="16" t="str">
        <x:v>Capital and reserves</x:v>
      </x:c>
      <x:c r="F7" s="16" t="str">
        <x:v>Balance-sheet profit</x:v>
      </x:c>
      <x:c r="G7" s="16" t="str">
        <x:v>Original deposit total</x:v>
      </x:c>
      <x:c r="H7" s="16" t="str">
        <x:v>Comparable deposits</x:v>
      </x:c>
      <x:c r="I7" s="16" t="str">
        <x:v>Due to banks</x:v>
      </x:c>
      <x:c r="J7" s="16" t="str">
        <x:v>Sundry liabilities</x:v>
      </x:c>
      <x:c r="K7" s="17" t="str">
        <x:v>Deposits comparable</x:v>
      </x:c>
      <x:c r="L7" s="2"/>
      <x:c r="M7" s="2"/>
      <x:c r="N7" s="2"/>
    </x:row>
    <x:row r="8" ht="22" customHeight="1">
      <x:c r="A8" s="19" t="n">
        <x:v>1919</x:v>
      </x:c>
      <x:c r="B8" s="19" t="n">
        <x:v>28</x:v>
      </x:c>
      <x:c r="C8" s="21" t="n">
        <x:v>915</x:v>
      </x:c>
      <x:c r="D8" s="21" t="n">
        <x:v>351</x:v>
      </x:c>
      <x:c r="E8" s="21" t="n">
        <x:v>1266</x:v>
      </x:c>
      <x:c r="F8" s="21" t="n">
        <x:v>86</x:v>
      </x:c>
      <x:c r="G8" s="21" t="n">
        <x:v>10740</x:v>
      </x:c>
      <x:c r="H8" s="21"/>
      <x:c r="I8" s="21"/>
      <x:c r="J8" s="21" t="n">
        <x:v>374</x:v>
      </x:c>
      <x:c r="K8" s="26" t="b">
        <x:v>0</x:v>
      </x:c>
      <x:c r="L8" s="2"/>
      <x:c r="M8" s="2"/>
      <x:c r="N8" s="2"/>
    </x:row>
    <x:row r="9" ht="22" customHeight="1">
      <x:c r="A9" s="22" t="n">
        <x:v>1920</x:v>
      </x:c>
      <x:c r="B9" s="22" t="n">
        <x:v>37</x:v>
      </x:c>
      <x:c r="C9" s="23" t="n">
        <x:v>1329</x:v>
      </x:c>
      <x:c r="D9" s="23" t="n">
        <x:v>536</x:v>
      </x:c>
      <x:c r="E9" s="23" t="n">
        <x:v>1865</x:v>
      </x:c>
      <x:c r="F9" s="23" t="n">
        <x:v>198</x:v>
      </x:c>
      <x:c r="G9" s="23" t="n">
        <x:v>10749</x:v>
      </x:c>
      <x:c r="H9" s="23" t="n">
        <x:v>10749</x:v>
      </x:c>
      <x:c r="I9" s="23" t="n">
        <x:v>5350</x:v>
      </x:c>
      <x:c r="J9" s="23" t="n">
        <x:v>806</x:v>
      </x:c>
      <x:c r="K9" s="27" t="b">
        <x:v>1</x:v>
      </x:c>
      <x:c r="L9" s="2"/>
      <x:c r="M9" s="2"/>
      <x:c r="N9" s="2"/>
    </x:row>
    <x:row r="10" ht="22" customHeight="1">
      <x:c r="A10" s="19" t="n">
        <x:v>1921</x:v>
      </x:c>
      <x:c r="B10" s="19" t="n">
        <x:v>40</x:v>
      </x:c>
      <x:c r="C10" s="21" t="n">
        <x:v>1548</x:v>
      </x:c>
      <x:c r="D10" s="21" t="n">
        <x:v>635</x:v>
      </x:c>
      <x:c r="E10" s="21" t="n">
        <x:v>2183</x:v>
      </x:c>
      <x:c r="F10" s="21" t="n">
        <x:v>249</x:v>
      </x:c>
      <x:c r="G10" s="21" t="n">
        <x:v>14622</x:v>
      </x:c>
      <x:c r="H10" s="21" t="n">
        <x:v>14622</x:v>
      </x:c>
      <x:c r="I10" s="21" t="n">
        <x:v>6463</x:v>
      </x:c>
      <x:c r="J10" s="21" t="n">
        <x:v>1121</x:v>
      </x:c>
      <x:c r="K10" s="26" t="b">
        <x:v>1</x:v>
      </x:c>
      <x:c r="L10" s="2"/>
      <x:c r="M10" s="2"/>
      <x:c r="N10" s="2"/>
    </x:row>
    <x:row r="11" ht="22" customHeight="1">
      <x:c r="A11" s="22" t="n">
        <x:v>1922</x:v>
      </x:c>
      <x:c r="B11" s="22" t="n">
        <x:v>37</x:v>
      </x:c>
      <x:c r="C11" s="23" t="n">
        <x:v>1791</x:v>
      </x:c>
      <x:c r="D11" s="23" t="n">
        <x:v>710</x:v>
      </x:c>
      <x:c r="E11" s="23" t="n">
        <x:v>2501</x:v>
      </x:c>
      <x:c r="F11" s="23" t="n">
        <x:v>291</x:v>
      </x:c>
      <x:c r="G11" s="23" t="n">
        <x:v>17258</x:v>
      </x:c>
      <x:c r="H11" s="23" t="n">
        <x:v>17258</x:v>
      </x:c>
      <x:c r="I11" s="23" t="n">
        <x:v>6086</x:v>
      </x:c>
      <x:c r="J11" s="23" t="n">
        <x:v>1297</x:v>
      </x:c>
      <x:c r="K11" s="27" t="b">
        <x:v>1</x:v>
      </x:c>
      <x:c r="L11" s="2"/>
      <x:c r="M11" s="2"/>
      <x:c r="N11" s="2"/>
    </x:row>
    <x:row r="12" ht="22" customHeight="1">
      <x:c r="A12" s="19" t="n">
        <x:v>1923</x:v>
      </x:c>
      <x:c r="B12" s="19" t="n">
        <x:v>34</x:v>
      </x:c>
      <x:c r="C12" s="21" t="n">
        <x:v>1821</x:v>
      </x:c>
      <x:c r="D12" s="21" t="n">
        <x:v>774</x:v>
      </x:c>
      <x:c r="E12" s="21" t="n">
        <x:v>2595</x:v>
      </x:c>
      <x:c r="F12" s="21" t="n">
        <x:v>279</x:v>
      </x:c>
      <x:c r="G12" s="21" t="n">
        <x:v>16002</x:v>
      </x:c>
      <x:c r="H12" s="21" t="n">
        <x:v>16002</x:v>
      </x:c>
      <x:c r="I12" s="21" t="n">
        <x:v>6101</x:v>
      </x:c>
      <x:c r="J12" s="21" t="n">
        <x:v>1514</x:v>
      </x:c>
      <x:c r="K12" s="26" t="b">
        <x:v>1</x:v>
      </x:c>
      <x:c r="L12" s="2"/>
      <x:c r="M12" s="2"/>
      <x:c r="N12" s="2"/>
    </x:row>
    <x:row r="13" ht="22" customHeight="1">
      <x:c r="A13" s="22" t="n">
        <x:v>1924</x:v>
      </x:c>
      <x:c r="B13" s="22" t="n">
        <x:v>33</x:v>
      </x:c>
      <x:c r="C13" s="23" t="n">
        <x:v>1871</x:v>
      </x:c>
      <x:c r="D13" s="23" t="n">
        <x:v>845</x:v>
      </x:c>
      <x:c r="E13" s="23" t="n">
        <x:v>2716</x:v>
      </x:c>
      <x:c r="F13" s="23" t="n">
        <x:v>254</x:v>
      </x:c>
      <x:c r="G13" s="23" t="n">
        <x:v>15635</x:v>
      </x:c>
      <x:c r="H13" s="23" t="n">
        <x:v>15635</x:v>
      </x:c>
      <x:c r="I13" s="23" t="n">
        <x:v>5694</x:v>
      </x:c>
      <x:c r="J13" s="23" t="n">
        <x:v>1498</x:v>
      </x:c>
      <x:c r="K13" s="27" t="b">
        <x:v>1</x:v>
      </x:c>
      <x:c r="L13" s="2"/>
      <x:c r="M13" s="2"/>
      <x:c r="N13" s="2"/>
    </x:row>
    <x:row r="14" ht="22" customHeight="1">
      <x:c r="A14" s="19" t="n">
        <x:v>1925</x:v>
      </x:c>
      <x:c r="B14" s="19" t="n">
        <x:v>32</x:v>
      </x:c>
      <x:c r="C14" s="21" t="n">
        <x:v>1859</x:v>
      </x:c>
      <x:c r="D14" s="21" t="n">
        <x:v>911</x:v>
      </x:c>
      <x:c r="E14" s="21" t="n">
        <x:v>2770</x:v>
      </x:c>
      <x:c r="F14" s="21" t="n">
        <x:v>248</x:v>
      </x:c>
      <x:c r="G14" s="21" t="n">
        <x:v>16036</x:v>
      </x:c>
      <x:c r="H14" s="21" t="n">
        <x:v>16036</x:v>
      </x:c>
      <x:c r="I14" s="21" t="n">
        <x:v>5778</x:v>
      </x:c>
      <x:c r="J14" s="21" t="n">
        <x:v>1186</x:v>
      </x:c>
      <x:c r="K14" s="26" t="b">
        <x:v>1</x:v>
      </x:c>
      <x:c r="L14" s="2"/>
      <x:c r="M14" s="2"/>
      <x:c r="N14" s="2"/>
    </x:row>
    <x:row r="15" ht="22" customHeight="1">
      <x:c r="A15" s="22" t="n">
        <x:v>1926</x:v>
      </x:c>
      <x:c r="B15" s="22" t="n">
        <x:v>31</x:v>
      </x:c>
      <x:c r="C15" s="23" t="n">
        <x:v>1856</x:v>
      </x:c>
      <x:c r="D15" s="23" t="n">
        <x:v>1098</x:v>
      </x:c>
      <x:c r="E15" s="23" t="n">
        <x:v>2954</x:v>
      </x:c>
      <x:c r="F15" s="23" t="n">
        <x:v>244</x:v>
      </x:c>
      <x:c r="G15" s="23" t="n">
        <x:v>16149</x:v>
      </x:c>
      <x:c r="H15" s="23" t="n">
        <x:v>16149</x:v>
      </x:c>
      <x:c r="I15" s="23" t="n">
        <x:v>5902</x:v>
      </x:c>
      <x:c r="J15" s="23" t="n">
        <x:v>1177</x:v>
      </x:c>
      <x:c r="K15" s="27" t="b">
        <x:v>1</x:v>
      </x:c>
      <x:c r="L15" s="2"/>
      <x:c r="M15" s="2"/>
      <x:c r="N15" s="2"/>
    </x:row>
    <x:row r="16" ht="22" customHeight="1">
      <x:c r="A16" s="19" t="n">
        <x:v>1927</x:v>
      </x:c>
      <x:c r="B16" s="19" t="n">
        <x:v>27</x:v>
      </x:c>
      <x:c r="C16" s="21" t="n">
        <x:v>1801</x:v>
      </x:c>
      <x:c r="D16" s="21" t="n">
        <x:v>1161</x:v>
      </x:c>
      <x:c r="E16" s="21" t="n">
        <x:v>2962</x:v>
      </x:c>
      <x:c r="F16" s="21" t="n">
        <x:v>263</x:v>
      </x:c>
      <x:c r="G16" s="21" t="n">
        <x:v>17271</x:v>
      </x:c>
      <x:c r="H16" s="21" t="n">
        <x:v>17271</x:v>
      </x:c>
      <x:c r="I16" s="21" t="n">
        <x:v>7598</x:v>
      </x:c>
      <x:c r="J16" s="21" t="n">
        <x:v>1238</x:v>
      </x:c>
      <x:c r="K16" s="26" t="b">
        <x:v>1</x:v>
      </x:c>
      <x:c r="L16" s="2"/>
      <x:c r="M16" s="2"/>
      <x:c r="N16" s="2"/>
    </x:row>
    <x:row r="17" ht="22" customHeight="1">
      <x:c r="A17" s="22" t="n">
        <x:v>1928</x:v>
      </x:c>
      <x:c r="B17" s="22" t="n">
        <x:v>27</x:v>
      </x:c>
      <x:c r="C17" s="23" t="n">
        <x:v>1816</x:v>
      </x:c>
      <x:c r="D17" s="23" t="n">
        <x:v>1245</x:v>
      </x:c>
      <x:c r="E17" s="23" t="n">
        <x:v>3061</x:v>
      </x:c>
      <x:c r="F17" s="23" t="n">
        <x:v>272</x:v>
      </x:c>
      <x:c r="G17" s="23" t="n">
        <x:v>17994</x:v>
      </x:c>
      <x:c r="H17" s="23" t="n">
        <x:v>17994</x:v>
      </x:c>
      <x:c r="I17" s="23" t="n">
        <x:v>8428</x:v>
      </x:c>
      <x:c r="J17" s="23" t="n">
        <x:v>1403</x:v>
      </x:c>
      <x:c r="K17" s="27" t="b">
        <x:v>1</x:v>
      </x:c>
      <x:c r="L17" s="2"/>
      <x:c r="M17" s="2"/>
      <x:c r="N17" s="2"/>
    </x:row>
    <x:row r="18" ht="22" customHeight="1">
      <x:c r="A18" s="19" t="n">
        <x:v>1929</x:v>
      </x:c>
      <x:c r="B18" s="19" t="n">
        <x:v>22</x:v>
      </x:c>
      <x:c r="C18" s="21" t="n">
        <x:v>1845</x:v>
      </x:c>
      <x:c r="D18" s="21" t="n">
        <x:v>1382</x:v>
      </x:c>
      <x:c r="E18" s="21" t="n">
        <x:v>3227</x:v>
      </x:c>
      <x:c r="F18" s="21" t="n">
        <x:v>253</x:v>
      </x:c>
      <x:c r="G18" s="21" t="n">
        <x:v>18630</x:v>
      </x:c>
      <x:c r="H18" s="21" t="n">
        <x:v>18630</x:v>
      </x:c>
      <x:c r="I18" s="21" t="n">
        <x:v>7787</x:v>
      </x:c>
      <x:c r="J18" s="21" t="n">
        <x:v>1448</x:v>
      </x:c>
      <x:c r="K18" s="26" t="b">
        <x:v>1</x:v>
      </x:c>
      <x:c r="L18" s="2"/>
      <x:c r="M18" s="2"/>
      <x:c r="N18" s="2"/>
    </x:row>
    <x:row r="19" ht="22" customHeight="1">
      <x:c r="A19" s="22" t="n">
        <x:v>1930</x:v>
      </x:c>
      <x:c r="B19" s="22" t="n">
        <x:v>23</x:v>
      </x:c>
      <x:c r="C19" s="23" t="n">
        <x:v>1852</x:v>
      </x:c>
      <x:c r="D19" s="23" t="n">
        <x:v>1431</x:v>
      </x:c>
      <x:c r="E19" s="23" t="n">
        <x:v>3283</x:v>
      </x:c>
      <x:c r="F19" s="23" t="n">
        <x:v>205</x:v>
      </x:c>
      <x:c r="G19" s="23" t="n">
        <x:v>19871</x:v>
      </x:c>
      <x:c r="H19" s="23" t="n">
        <x:v>19871</x:v>
      </x:c>
      <x:c r="I19" s="23" t="n">
        <x:v>7038</x:v>
      </x:c>
      <x:c r="J19" s="23" t="n">
        <x:v>1555</x:v>
      </x:c>
      <x:c r="K19" s="27" t="b">
        <x:v>1</x:v>
      </x:c>
      <x:c r="L19" s="2"/>
      <x:c r="M19" s="2"/>
      <x:c r="N19" s="2"/>
    </x:row>
    <x:row r="20" ht="22" customHeight="1">
      <x:c r="A20" s="19" t="n">
        <x:v>1931</x:v>
      </x:c>
      <x:c r="B20" s="19" t="n">
        <x:v>23</x:v>
      </x:c>
      <x:c r="C20" s="21" t="n">
        <x:v>1533</x:v>
      </x:c>
      <x:c r="D20" s="21" t="n">
        <x:v>1011</x:v>
      </x:c>
      <x:c r="E20" s="21" t="n">
        <x:v>2544</x:v>
      </x:c>
      <x:c r="F20" s="21" t="n">
        <x:v>66</x:v>
      </x:c>
      <x:c r="G20" s="21" t="n">
        <x:v>17382</x:v>
      </x:c>
      <x:c r="H20" s="21" t="n">
        <x:v>17382</x:v>
      </x:c>
      <x:c r="I20" s="21" t="n">
        <x:v>5542</x:v>
      </x:c>
      <x:c r="J20" s="21" t="n">
        <x:v>1422</x:v>
      </x:c>
      <x:c r="K20" s="26" t="b">
        <x:v>1</x:v>
      </x:c>
      <x:c r="L20" s="2"/>
      <x:c r="M20" s="2"/>
      <x:c r="N20" s="2"/>
    </x:row>
    <x:row r="21" ht="22" customHeight="1">
      <x:c r="A21" s="22" t="n">
        <x:v>1932</x:v>
      </x:c>
      <x:c r="B21" s="22" t="n">
        <x:v>22</x:v>
      </x:c>
      <x:c r="C21" s="23" t="n">
        <x:v>1284</x:v>
      </x:c>
      <x:c r="D21" s="23" t="n">
        <x:v>904</x:v>
      </x:c>
      <x:c r="E21" s="23" t="n">
        <x:v>2188</x:v>
      </x:c>
      <x:c r="F21" s="23" t="n">
        <x:v>65</x:v>
      </x:c>
      <x:c r="G21" s="23" t="n">
        <x:v>16337</x:v>
      </x:c>
      <x:c r="H21" s="23" t="n">
        <x:v>16337</x:v>
      </x:c>
      <x:c r="I21" s="23" t="n">
        <x:v>4154</x:v>
      </x:c>
      <x:c r="J21" s="23" t="n">
        <x:v>984</x:v>
      </x:c>
      <x:c r="K21" s="27" t="b">
        <x:v>1</x:v>
      </x:c>
      <x:c r="L21" s="2"/>
      <x:c r="M21" s="2"/>
      <x:c r="N21" s="2"/>
    </x:row>
    <x:row r="22" ht="22" customHeight="1">
      <x:c r="A22" s="19" t="n">
        <x:v>1933</x:v>
      </x:c>
      <x:c r="B22" s="19" t="n">
        <x:v>22</x:v>
      </x:c>
      <x:c r="C22" s="21" t="n">
        <x:v>1283</x:v>
      </x:c>
      <x:c r="D22" s="21" t="n">
        <x:v>909</x:v>
      </x:c>
      <x:c r="E22" s="21" t="n">
        <x:v>2192</x:v>
      </x:c>
      <x:c r="F22" s="21" t="n">
        <x:v>64</x:v>
      </x:c>
      <x:c r="G22" s="21" t="n">
        <x:v>15850</x:v>
      </x:c>
      <x:c r="H22" s="21" t="n">
        <x:v>15850</x:v>
      </x:c>
      <x:c r="I22" s="21" t="n">
        <x:v>3548</x:v>
      </x:c>
      <x:c r="J22" s="21" t="n">
        <x:v>950</x:v>
      </x:c>
      <x:c r="K22" s="26" t="b">
        <x:v>1</x:v>
      </x:c>
      <x:c r="L22" s="2"/>
      <x:c r="M22" s="2"/>
      <x:c r="N22" s="2"/>
    </x:row>
    <x:row r="23" ht="22" customHeight="1">
      <x:c r="A23" s="22" t="n">
        <x:v>1934</x:v>
      </x:c>
      <x:c r="B23" s="22" t="n">
        <x:v>23</x:v>
      </x:c>
      <x:c r="C23" s="23" t="n">
        <x:v>1307</x:v>
      </x:c>
      <x:c r="D23" s="23" t="n">
        <x:v>917</x:v>
      </x:c>
      <x:c r="E23" s="23" t="n">
        <x:v>2224</x:v>
      </x:c>
      <x:c r="F23" s="23" t="n">
        <x:v>71</x:v>
      </x:c>
      <x:c r="G23" s="23" t="n">
        <x:v>16035</x:v>
      </x:c>
      <x:c r="H23" s="23" t="n">
        <x:v>16035</x:v>
      </x:c>
      <x:c r="I23" s="23" t="n">
        <x:v>4157</x:v>
      </x:c>
      <x:c r="J23" s="23" t="n">
        <x:v>1295</x:v>
      </x:c>
      <x:c r="K23" s="27" t="b">
        <x:v>1</x:v>
      </x:c>
      <x:c r="L23" s="2"/>
      <x:c r="M23" s="2"/>
      <x:c r="N23" s="2"/>
    </x:row>
    <x:row r="24" ht="22" customHeight="1">
      <x:c r="A24" s="19" t="n">
        <x:v>1935</x:v>
      </x:c>
      <x:c r="B24" s="19" t="n">
        <x:v>23</x:v>
      </x:c>
      <x:c r="C24" s="21" t="n">
        <x:v>1267</x:v>
      </x:c>
      <x:c r="D24" s="21" t="n">
        <x:v>839</x:v>
      </x:c>
      <x:c r="E24" s="21" t="n">
        <x:v>2106</x:v>
      </x:c>
      <x:c r="F24" s="21" t="n">
        <x:v>77</x:v>
      </x:c>
      <x:c r="G24" s="21" t="n">
        <x:v>16332</x:v>
      </x:c>
      <x:c r="H24" s="21" t="n">
        <x:v>16332</x:v>
      </x:c>
      <x:c r="I24" s="21" t="n">
        <x:v>4676</x:v>
      </x:c>
      <x:c r="J24" s="21" t="n">
        <x:v>1278</x:v>
      </x:c>
      <x:c r="K24" s="26" t="b">
        <x:v>1</x:v>
      </x:c>
      <x:c r="L24" s="2"/>
      <x:c r="M24" s="2"/>
      <x:c r="N24" s="2"/>
    </x:row>
    <x:row r="25" ht="22" customHeight="1">
      <x:c r="A25" s="22" t="n">
        <x:v>1936</x:v>
      </x:c>
      <x:c r="B25" s="22" t="n">
        <x:v>23</x:v>
      </x:c>
      <x:c r="C25" s="23" t="n">
        <x:v>1267</x:v>
      </x:c>
      <x:c r="D25" s="23" t="n">
        <x:v>843</x:v>
      </x:c>
      <x:c r="E25" s="23" t="n">
        <x:v>2110</x:v>
      </x:c>
      <x:c r="F25" s="23" t="n">
        <x:v>89</x:v>
      </x:c>
      <x:c r="G25" s="23" t="n">
        <x:v>16804</x:v>
      </x:c>
      <x:c r="H25" s="23" t="n">
        <x:v>16804</x:v>
      </x:c>
      <x:c r="I25" s="23" t="n">
        <x:v>4798</x:v>
      </x:c>
      <x:c r="J25" s="23" t="n">
        <x:v>1334</x:v>
      </x:c>
      <x:c r="K25" s="27" t="b">
        <x:v>1</x:v>
      </x:c>
      <x:c r="L25" s="2"/>
      <x:c r="M25" s="2"/>
      <x:c r="N25" s="2"/>
    </x:row>
    <x:row r="26" ht="22" customHeight="1">
      <x:c r="A26" s="19" t="n">
        <x:v>1937</x:v>
      </x:c>
      <x:c r="B26" s="19" t="n">
        <x:v>22</x:v>
      </x:c>
      <x:c r="C26" s="21" t="n">
        <x:v>1275</x:v>
      </x:c>
      <x:c r="D26" s="21" t="n">
        <x:v>805</x:v>
      </x:c>
      <x:c r="E26" s="21" t="n">
        <x:v>2080</x:v>
      </x:c>
      <x:c r="F26" s="21" t="n">
        <x:v>103</x:v>
      </x:c>
      <x:c r="G26" s="21" t="n">
        <x:v>16839</x:v>
      </x:c>
      <x:c r="H26" s="21" t="n">
        <x:v>16839</x:v>
      </x:c>
      <x:c r="I26" s="21" t="n">
        <x:v>5779</x:v>
      </x:c>
      <x:c r="J26" s="21" t="n">
        <x:v>1432</x:v>
      </x:c>
      <x:c r="K26" s="26" t="b">
        <x:v>1</x:v>
      </x:c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627d0dfb4e724f1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Aggregate income accounts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2"/>
      <x:c r="M3" s="2"/>
      <x:c r="N3" s="2"/>
    </x:row>
    <x:row r="4" ht="20" customHeight="1">
      <x:c r="A4" s="6" t="str">
        <x:v>1936: 22 income accounts and 23 balance sheets. Income-to-assets ratios omit that year.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Year</x:v>
      </x:c>
      <x:c r="B7" s="16" t="str">
        <x:v>Income banks</x:v>
      </x:c>
      <x:c r="C7" s="16" t="str">
        <x:v>Balance-sheet banks</x:v>
      </x:c>
      <x:c r="D7" s="16" t="str">
        <x:v>Net interest</x:v>
      </x:c>
      <x:c r="E7" s="16" t="str">
        <x:v>Commissions</x:v>
      </x:c>
      <x:c r="F7" s="16" t="str">
        <x:v>Gross profits</x:v>
      </x:c>
      <x:c r="G7" s="16" t="str">
        <x:v>Operating expenses</x:v>
      </x:c>
      <x:c r="H7" s="16" t="str">
        <x:v>Net profit / loss</x:v>
      </x:c>
      <x:c r="I7" s="16" t="str">
        <x:v>Write-offs</x:v>
      </x:c>
      <x:c r="J7" s="16" t="str">
        <x:v>Dividends</x:v>
      </x:c>
      <x:c r="K7" s="17" t="str">
        <x:v>Published counts match</x:v>
      </x:c>
      <x:c r="L7" s="2"/>
      <x:c r="M7" s="2"/>
      <x:c r="N7" s="2"/>
    </x:row>
    <x:row r="8" ht="22" customHeight="1">
      <x:c r="A8" s="19" t="n">
        <x:v>1919</x:v>
      </x:c>
      <x:c r="B8" s="19" t="n">
        <x:v>28</x:v>
      </x:c>
      <x:c r="C8" s="19" t="n">
        <x:v>28</x:v>
      </x:c>
      <x:c r="D8" s="21" t="n">
        <x:v>146</x:v>
      </x:c>
      <x:c r="E8" s="21" t="n">
        <x:v>50</x:v>
      </x:c>
      <x:c r="F8" s="21" t="n">
        <x:v>255</x:v>
      </x:c>
      <x:c r="G8" s="21" t="n">
        <x:v>160</x:v>
      </x:c>
      <x:c r="H8" s="21" t="n">
        <x:v>73</x:v>
      </x:c>
      <x:c r="I8" s="21" t="n">
        <x:v>13</x:v>
      </x:c>
      <x:c r="J8" s="21" t="n">
        <x:v>51</x:v>
      </x:c>
      <x:c r="K8" s="26" t="b">
        <x:v>1</x:v>
      </x:c>
      <x:c r="L8" s="2"/>
      <x:c r="M8" s="2"/>
      <x:c r="N8" s="2"/>
    </x:row>
    <x:row r="9" ht="22" customHeight="1">
      <x:c r="A9" s="22" t="n">
        <x:v>1920</x:v>
      </x:c>
      <x:c r="B9" s="22" t="n">
        <x:v>37</x:v>
      </x:c>
      <x:c r="C9" s="22" t="n">
        <x:v>37</x:v>
      </x:c>
      <x:c r="D9" s="23" t="n">
        <x:v>334</x:v>
      </x:c>
      <x:c r="E9" s="23" t="n">
        <x:v>178</x:v>
      </x:c>
      <x:c r="F9" s="23" t="n">
        <x:v>616</x:v>
      </x:c>
      <x:c r="G9" s="23" t="n">
        <x:v>411</x:v>
      </x:c>
      <x:c r="H9" s="23" t="n">
        <x:v>167</x:v>
      </x:c>
      <x:c r="I9" s="23" t="n">
        <x:v>13</x:v>
      </x:c>
      <x:c r="J9" s="23" t="n">
        <x:v>116</x:v>
      </x:c>
      <x:c r="K9" s="27" t="b">
        <x:v>1</x:v>
      </x:c>
      <x:c r="L9" s="2"/>
      <x:c r="M9" s="2"/>
      <x:c r="N9" s="2"/>
    </x:row>
    <x:row r="10" ht="22" customHeight="1">
      <x:c r="A10" s="19" t="n">
        <x:v>1921</x:v>
      </x:c>
      <x:c r="B10" s="19" t="n">
        <x:v>40</x:v>
      </x:c>
      <x:c r="C10" s="19" t="n">
        <x:v>40</x:v>
      </x:c>
      <x:c r="D10" s="21" t="n">
        <x:v>464</x:v>
      </x:c>
      <x:c r="E10" s="21" t="n">
        <x:v>257</x:v>
      </x:c>
      <x:c r="F10" s="21" t="n">
        <x:v>861</x:v>
      </x:c>
      <x:c r="G10" s="21" t="n">
        <x:v>600</x:v>
      </x:c>
      <x:c r="H10" s="21" t="n">
        <x:v>214</x:v>
      </x:c>
      <x:c r="I10" s="21" t="n">
        <x:v>17</x:v>
      </x:c>
      <x:c r="J10" s="21" t="n">
        <x:v>151</x:v>
      </x:c>
      <x:c r="K10" s="26" t="b">
        <x:v>1</x:v>
      </x:c>
      <x:c r="L10" s="2"/>
      <x:c r="M10" s="2"/>
      <x:c r="N10" s="2"/>
    </x:row>
    <x:row r="11" ht="22" customHeight="1">
      <x:c r="A11" s="22" t="n">
        <x:v>1922</x:v>
      </x:c>
      <x:c r="B11" s="22" t="n">
        <x:v>37</x:v>
      </x:c>
      <x:c r="C11" s="22" t="n">
        <x:v>37</x:v>
      </x:c>
      <x:c r="D11" s="23" t="n">
        <x:v>593</x:v>
      </x:c>
      <x:c r="E11" s="23" t="n">
        <x:v>307</x:v>
      </x:c>
      <x:c r="F11" s="23" t="n">
        <x:v>1047</x:v>
      </x:c>
      <x:c r="G11" s="23" t="n">
        <x:v>726</x:v>
      </x:c>
      <x:c r="H11" s="23" t="n">
        <x:v>255</x:v>
      </x:c>
      <x:c r="I11" s="23" t="n">
        <x:v>40</x:v>
      </x:c>
      <x:c r="J11" s="23" t="n">
        <x:v>161</x:v>
      </x:c>
      <x:c r="K11" s="27" t="b">
        <x:v>1</x:v>
      </x:c>
      <x:c r="L11" s="2"/>
      <x:c r="M11" s="2"/>
      <x:c r="N11" s="2"/>
    </x:row>
    <x:row r="12" ht="22" customHeight="1">
      <x:c r="A12" s="19" t="n">
        <x:v>1923</x:v>
      </x:c>
      <x:c r="B12" s="19" t="n">
        <x:v>34</x:v>
      </x:c>
      <x:c r="C12" s="19" t="n">
        <x:v>34</x:v>
      </x:c>
      <x:c r="D12" s="21" t="n">
        <x:v>567</x:v>
      </x:c>
      <x:c r="E12" s="21" t="n">
        <x:v>315</x:v>
      </x:c>
      <x:c r="F12" s="21" t="n">
        <x:v>1057</x:v>
      </x:c>
      <x:c r="G12" s="21" t="n">
        <x:v>727</x:v>
      </x:c>
      <x:c r="H12" s="21" t="n">
        <x:v>239</x:v>
      </x:c>
      <x:c r="I12" s="21" t="n">
        <x:v>62</x:v>
      </x:c>
      <x:c r="J12" s="21" t="n">
        <x:v>155</x:v>
      </x:c>
      <x:c r="K12" s="26" t="b">
        <x:v>1</x:v>
      </x:c>
      <x:c r="L12" s="2"/>
      <x:c r="M12" s="2"/>
      <x:c r="N12" s="2"/>
    </x:row>
    <x:row r="13" ht="22" customHeight="1">
      <x:c r="A13" s="22" t="n">
        <x:v>1924</x:v>
      </x:c>
      <x:c r="B13" s="22" t="n">
        <x:v>33</x:v>
      </x:c>
      <x:c r="C13" s="22" t="n">
        <x:v>33</x:v>
      </x:c>
      <x:c r="D13" s="23" t="n">
        <x:v>570</x:v>
      </x:c>
      <x:c r="E13" s="23" t="n">
        <x:v>316</x:v>
      </x:c>
      <x:c r="F13" s="23" t="n">
        <x:v>1018</x:v>
      </x:c>
      <x:c r="G13" s="23" t="n">
        <x:v>726</x:v>
      </x:c>
      <x:c r="H13" s="23" t="n">
        <x:v>233</x:v>
      </x:c>
      <x:c r="I13" s="23" t="n">
        <x:v>39</x:v>
      </x:c>
      <x:c r="J13" s="23" t="n">
        <x:v>140</x:v>
      </x:c>
      <x:c r="K13" s="27" t="b">
        <x:v>1</x:v>
      </x:c>
      <x:c r="L13" s="2"/>
      <x:c r="M13" s="2"/>
      <x:c r="N13" s="2"/>
    </x:row>
    <x:row r="14" ht="22" customHeight="1">
      <x:c r="A14" s="19" t="n">
        <x:v>1925</x:v>
      </x:c>
      <x:c r="B14" s="19" t="n">
        <x:v>32</x:v>
      </x:c>
      <x:c r="C14" s="19" t="n">
        <x:v>32</x:v>
      </x:c>
      <x:c r="D14" s="21" t="n">
        <x:v>531</x:v>
      </x:c>
      <x:c r="E14" s="21" t="n">
        <x:v>310</x:v>
      </x:c>
      <x:c r="F14" s="21" t="n">
        <x:v>961</x:v>
      </x:c>
      <x:c r="G14" s="21" t="n">
        <x:v>680</x:v>
      </x:c>
      <x:c r="H14" s="21" t="n">
        <x:v>232</x:v>
      </x:c>
      <x:c r="I14" s="21" t="n">
        <x:v>33</x:v>
      </x:c>
      <x:c r="J14" s="21" t="n">
        <x:v>135</x:v>
      </x:c>
      <x:c r="K14" s="26" t="b">
        <x:v>1</x:v>
      </x:c>
      <x:c r="L14" s="2"/>
      <x:c r="M14" s="2"/>
      <x:c r="N14" s="2"/>
    </x:row>
    <x:row r="15" ht="22" customHeight="1">
      <x:c r="A15" s="22" t="n">
        <x:v>1926</x:v>
      </x:c>
      <x:c r="B15" s="22" t="n">
        <x:v>31</x:v>
      </x:c>
      <x:c r="C15" s="22" t="n">
        <x:v>31</x:v>
      </x:c>
      <x:c r="D15" s="23" t="n">
        <x:v>480</x:v>
      </x:c>
      <x:c r="E15" s="23" t="n">
        <x:v>282</x:v>
      </x:c>
      <x:c r="F15" s="23" t="n">
        <x:v>924</x:v>
      </x:c>
      <x:c r="G15" s="23" t="n">
        <x:v>674</x:v>
      </x:c>
      <x:c r="H15" s="23" t="n">
        <x:v>222</x:v>
      </x:c>
      <x:c r="I15" s="23" t="n">
        <x:v>18</x:v>
      </x:c>
      <x:c r="J15" s="23" t="n">
        <x:v>121</x:v>
      </x:c>
      <x:c r="K15" s="27" t="b">
        <x:v>1</x:v>
      </x:c>
      <x:c r="L15" s="2"/>
      <x:c r="M15" s="2"/>
      <x:c r="N15" s="2"/>
    </x:row>
    <x:row r="16" ht="22" customHeight="1">
      <x:c r="A16" s="19" t="n">
        <x:v>1927</x:v>
      </x:c>
      <x:c r="B16" s="19" t="n">
        <x:v>27</x:v>
      </x:c>
      <x:c r="C16" s="19" t="n">
        <x:v>27</x:v>
      </x:c>
      <x:c r="D16" s="21" t="n">
        <x:v>491</x:v>
      </x:c>
      <x:c r="E16" s="21" t="n">
        <x:v>281</x:v>
      </x:c>
      <x:c r="F16" s="21" t="n">
        <x:v>932</x:v>
      </x:c>
      <x:c r="G16" s="21" t="n">
        <x:v>661</x:v>
      </x:c>
      <x:c r="H16" s="21" t="n">
        <x:v>206</x:v>
      </x:c>
      <x:c r="I16" s="21" t="n">
        <x:v>25</x:v>
      </x:c>
      <x:c r="J16" s="21" t="n">
        <x:v>129</x:v>
      </x:c>
      <x:c r="K16" s="26" t="b">
        <x:v>1</x:v>
      </x:c>
      <x:c r="L16" s="2"/>
      <x:c r="M16" s="2"/>
      <x:c r="N16" s="2"/>
    </x:row>
    <x:row r="17" ht="22" customHeight="1">
      <x:c r="A17" s="22" t="n">
        <x:v>1928</x:v>
      </x:c>
      <x:c r="B17" s="22" t="n">
        <x:v>27</x:v>
      </x:c>
      <x:c r="C17" s="22" t="n">
        <x:v>27</x:v>
      </x:c>
      <x:c r="D17" s="23" t="n">
        <x:v>508</x:v>
      </x:c>
      <x:c r="E17" s="23" t="n">
        <x:v>279</x:v>
      </x:c>
      <x:c r="F17" s="23" t="n">
        <x:v>912</x:v>
      </x:c>
      <x:c r="G17" s="23" t="n">
        <x:v>637</x:v>
      </x:c>
      <x:c r="H17" s="23" t="n">
        <x:v>217</x:v>
      </x:c>
      <x:c r="I17" s="23" t="n">
        <x:v>23</x:v>
      </x:c>
      <x:c r="J17" s="23" t="n">
        <x:v>142</x:v>
      </x:c>
      <x:c r="K17" s="27" t="b">
        <x:v>1</x:v>
      </x:c>
      <x:c r="L17" s="2"/>
      <x:c r="M17" s="2"/>
      <x:c r="N17" s="2"/>
    </x:row>
    <x:row r="18" ht="22" customHeight="1">
      <x:c r="A18" s="19" t="n">
        <x:v>1929</x:v>
      </x:c>
      <x:c r="B18" s="19" t="n">
        <x:v>22</x:v>
      </x:c>
      <x:c r="C18" s="19" t="n">
        <x:v>22</x:v>
      </x:c>
      <x:c r="D18" s="21" t="n">
        <x:v>510</x:v>
      </x:c>
      <x:c r="E18" s="21" t="n">
        <x:v>287</x:v>
      </x:c>
      <x:c r="F18" s="21" t="n">
        <x:v>884</x:v>
      </x:c>
      <x:c r="G18" s="21" t="n">
        <x:v>630</x:v>
      </x:c>
      <x:c r="H18" s="21" t="n">
        <x:v>218</x:v>
      </x:c>
      <x:c r="I18" s="21" t="n">
        <x:v>23</x:v>
      </x:c>
      <x:c r="J18" s="21" t="n">
        <x:v>154</x:v>
      </x:c>
      <x:c r="K18" s="26" t="b">
        <x:v>1</x:v>
      </x:c>
      <x:c r="L18" s="2"/>
      <x:c r="M18" s="2"/>
      <x:c r="N18" s="2"/>
    </x:row>
    <x:row r="19" ht="22" customHeight="1">
      <x:c r="A19" s="22" t="n">
        <x:v>1930</x:v>
      </x:c>
      <x:c r="B19" s="22" t="n">
        <x:v>23</x:v>
      </x:c>
      <x:c r="C19" s="22" t="n">
        <x:v>23</x:v>
      </x:c>
      <x:c r="D19" s="23" t="n">
        <x:v>484</x:v>
      </x:c>
      <x:c r="E19" s="23" t="n">
        <x:v>270</x:v>
      </x:c>
      <x:c r="F19" s="23" t="n">
        <x:v>826</x:v>
      </x:c>
      <x:c r="G19" s="23" t="n">
        <x:v>620</x:v>
      </x:c>
      <x:c r="H19" s="23" t="n">
        <x:v>168</x:v>
      </x:c>
      <x:c r="I19" s="23" t="n">
        <x:v>23</x:v>
      </x:c>
      <x:c r="J19" s="23" t="n">
        <x:v>129</x:v>
      </x:c>
      <x:c r="K19" s="27" t="b">
        <x:v>1</x:v>
      </x:c>
      <x:c r="L19" s="2"/>
      <x:c r="M19" s="2"/>
      <x:c r="N19" s="2"/>
    </x:row>
    <x:row r="20" ht="22" customHeight="1">
      <x:c r="A20" s="19" t="n">
        <x:v>1931</x:v>
      </x:c>
      <x:c r="B20" s="19" t="n">
        <x:v>23</x:v>
      </x:c>
      <x:c r="C20" s="19" t="n">
        <x:v>23</x:v>
      </x:c>
      <x:c r="D20" s="21" t="n">
        <x:v>451</x:v>
      </x:c>
      <x:c r="E20" s="21" t="n">
        <x:v>236</x:v>
      </x:c>
      <x:c r="F20" s="21" t="n">
        <x:v>639</x:v>
      </x:c>
      <x:c r="G20" s="21" t="n">
        <x:v>550</x:v>
      </x:c>
      <x:c r="H20" s="21" t="n">
        <x:v>-607</x:v>
      </x:c>
      <x:c r="I20" s="21" t="n">
        <x:v>693</x:v>
      </x:c>
      <x:c r="J20" s="21" t="n">
        <x:v>33</x:v>
      </x:c>
      <x:c r="K20" s="26" t="b">
        <x:v>1</x:v>
      </x:c>
      <x:c r="L20" s="2"/>
      <x:c r="M20" s="2"/>
      <x:c r="N20" s="2"/>
    </x:row>
    <x:row r="21" ht="22" customHeight="1">
      <x:c r="A21" s="22" t="n">
        <x:v>1932</x:v>
      </x:c>
      <x:c r="B21" s="22" t="n">
        <x:v>22</x:v>
      </x:c>
      <x:c r="C21" s="22" t="n">
        <x:v>22</x:v>
      </x:c>
      <x:c r="D21" s="23" t="n">
        <x:v>319</x:v>
      </x:c>
      <x:c r="E21" s="23" t="n">
        <x:v>184</x:v>
      </x:c>
      <x:c r="F21" s="23" t="n">
        <x:v>541</x:v>
      </x:c>
      <x:c r="G21" s="23" t="n">
        <x:v>485</x:v>
      </x:c>
      <x:c r="H21" s="23" t="n">
        <x:v>42</x:v>
      </x:c>
      <x:c r="I21" s="23" t="n">
        <x:v>13</x:v>
      </x:c>
      <x:c r="J21" s="23" t="n">
        <x:v>25</x:v>
      </x:c>
      <x:c r="K21" s="27" t="b">
        <x:v>1</x:v>
      </x:c>
      <x:c r="L21" s="2"/>
      <x:c r="M21" s="2"/>
      <x:c r="N21" s="2"/>
    </x:row>
    <x:row r="22" ht="22" customHeight="1">
      <x:c r="A22" s="19" t="n">
        <x:v>1933</x:v>
      </x:c>
      <x:c r="B22" s="19" t="n">
        <x:v>22</x:v>
      </x:c>
      <x:c r="C22" s="19" t="n">
        <x:v>22</x:v>
      </x:c>
      <x:c r="D22" s="21" t="n">
        <x:v>285</x:v>
      </x:c>
      <x:c r="E22" s="21" t="n">
        <x:v>168</x:v>
      </x:c>
      <x:c r="F22" s="21" t="n">
        <x:v>502</x:v>
      </x:c>
      <x:c r="G22" s="21" t="n">
        <x:v>440</x:v>
      </x:c>
      <x:c r="H22" s="21" t="n">
        <x:v>34</x:v>
      </x:c>
      <x:c r="I22" s="21" t="n">
        <x:v>22</x:v>
      </x:c>
      <x:c r="J22" s="21" t="n">
        <x:v>24</x:v>
      </x:c>
      <x:c r="K22" s="26" t="b">
        <x:v>1</x:v>
      </x:c>
      <x:c r="L22" s="2"/>
      <x:c r="M22" s="2"/>
      <x:c r="N22" s="2"/>
    </x:row>
    <x:row r="23" ht="22" customHeight="1">
      <x:c r="A23" s="22" t="n">
        <x:v>1934</x:v>
      </x:c>
      <x:c r="B23" s="22" t="n">
        <x:v>23</x:v>
      </x:c>
      <x:c r="C23" s="22" t="n">
        <x:v>23</x:v>
      </x:c>
      <x:c r="D23" s="23" t="n">
        <x:v>263</x:v>
      </x:c>
      <x:c r="E23" s="23" t="n">
        <x:v>155</x:v>
      </x:c>
      <x:c r="F23" s="23" t="n">
        <x:v>482</x:v>
      </x:c>
      <x:c r="G23" s="23" t="n">
        <x:v>413</x:v>
      </x:c>
      <x:c r="H23" s="23" t="n">
        <x:v>-4</x:v>
      </x:c>
      <x:c r="I23" s="23" t="n">
        <x:v>64</x:v>
      </x:c>
      <x:c r="J23" s="23" t="n">
        <x:v>27</x:v>
      </x:c>
      <x:c r="K23" s="27" t="b">
        <x:v>1</x:v>
      </x:c>
      <x:c r="L23" s="2"/>
      <x:c r="M23" s="2"/>
      <x:c r="N23" s="2"/>
    </x:row>
    <x:row r="24" ht="22" customHeight="1">
      <x:c r="A24" s="19" t="n">
        <x:v>1935</x:v>
      </x:c>
      <x:c r="B24" s="19" t="n">
        <x:v>23</x:v>
      </x:c>
      <x:c r="C24" s="19" t="n">
        <x:v>23</x:v>
      </x:c>
      <x:c r="D24" s="21" t="n">
        <x:v>240</x:v>
      </x:c>
      <x:c r="E24" s="21" t="n">
        <x:v>155</x:v>
      </x:c>
      <x:c r="F24" s="21" t="n">
        <x:v>481</x:v>
      </x:c>
      <x:c r="G24" s="21" t="n">
        <x:v>408</x:v>
      </x:c>
      <x:c r="H24" s="21" t="n">
        <x:v>13</x:v>
      </x:c>
      <x:c r="I24" s="21" t="n">
        <x:v>47</x:v>
      </x:c>
      <x:c r="J24" s="21" t="n">
        <x:v>27</x:v>
      </x:c>
      <x:c r="K24" s="26" t="b">
        <x:v>1</x:v>
      </x:c>
      <x:c r="L24" s="2"/>
      <x:c r="M24" s="2"/>
      <x:c r="N24" s="2"/>
    </x:row>
    <x:row r="25" ht="22" customHeight="1">
      <x:c r="A25" s="22" t="n">
        <x:v>1936</x:v>
      </x:c>
      <x:c r="B25" s="22" t="n">
        <x:v>22</x:v>
      </x:c>
      <x:c r="C25" s="22" t="n">
        <x:v>23</x:v>
      </x:c>
      <x:c r="D25" s="23" t="n">
        <x:v>248</x:v>
      </x:c>
      <x:c r="E25" s="23" t="n">
        <x:v>145</x:v>
      </x:c>
      <x:c r="F25" s="23" t="n">
        <x:v>491</x:v>
      </x:c>
      <x:c r="G25" s="23" t="n">
        <x:v>419</x:v>
      </x:c>
      <x:c r="H25" s="23" t="n">
        <x:v>39</x:v>
      </x:c>
      <x:c r="I25" s="23" t="n">
        <x:v>15</x:v>
      </x:c>
      <x:c r="J25" s="23" t="n">
        <x:v>30</x:v>
      </x:c>
      <x:c r="K25" s="27" t="b">
        <x:v>0</x:v>
      </x:c>
      <x:c r="L25" s="2"/>
      <x:c r="M25" s="2"/>
      <x:c r="N25" s="2"/>
    </x:row>
    <x:row r="26" ht="22" customHeight="1">
      <x:c r="A26" s="19" t="n">
        <x:v>1937</x:v>
      </x:c>
      <x:c r="B26" s="19" t="n">
        <x:v>22</x:v>
      </x:c>
      <x:c r="C26" s="19" t="n">
        <x:v>22</x:v>
      </x:c>
      <x:c r="D26" s="21" t="n">
        <x:v>284</x:v>
      </x:c>
      <x:c r="E26" s="21" t="n">
        <x:v>167</x:v>
      </x:c>
      <x:c r="F26" s="21" t="n">
        <x:v>542</x:v>
      </x:c>
      <x:c r="G26" s="21" t="n">
        <x:v>443</x:v>
      </x:c>
      <x:c r="H26" s="21" t="n">
        <x:v>42</x:v>
      </x:c>
      <x:c r="I26" s="21" t="n">
        <x:v>49</x:v>
      </x:c>
      <x:c r="J26" s="21" t="n">
        <x:v>48</x:v>
      </x:c>
      <x:c r="K26" s="26" t="b">
        <x:v>1</x:v>
      </x:c>
      <x:c r="L26" s="2"/>
      <x:c r="M26" s="2"/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106e89ef1f1a40e2"/>
  </x:tableParts>
</x:worksheet>
</file>

<file path=xl/worksheets/sheet6.xml><?xml version="1.0" encoding="utf-8"?>
<x:worksheet xmlns:x="http://schemas.openxmlformats.org/spreadsheetml/2006/main">
  <x:sheetPr>
    <x:tabColor rgb="FF337E7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Annual ratios and income intensity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Percentages are stored in percentage units: a value of 9.70 means 9.70 per cent.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Formulas reference the account sheets by year. 1919 deposit ratios and 1936 income ratios remain blank.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Year</x:v>
      </x:c>
      <x:c r="B7" s="16" t="str">
        <x:v>Capital / assets (%)</x:v>
      </x:c>
      <x:c r="C7" s="16" t="str">
        <x:v>Loans + bills / assets (%)</x:v>
      </x:c>
      <x:c r="D7" s="16" t="str">
        <x:v>Extended credit / assets (%)</x:v>
      </x:c>
      <x:c r="E7" s="16" t="str">
        <x:v>Cash / assets (%)</x:v>
      </x:c>
      <x:c r="F7" s="16" t="str">
        <x:v>Securities / assets (%)</x:v>
      </x:c>
      <x:c r="G7" s="16" t="str">
        <x:v>Participations / assets (%)</x:v>
      </x:c>
      <x:c r="H7" s="16" t="str">
        <x:v>Deposits / assets (%)</x:v>
      </x:c>
      <x:c r="I7" s="16" t="str">
        <x:v>Due to banks / assets (%)</x:v>
      </x:c>
      <x:c r="J7" s="16" t="str">
        <x:v>Loans + bills / deposits (%)</x:v>
      </x:c>
      <x:c r="K7" s="16" t="str">
        <x:v>Net interest / end-assets (%)</x:v>
      </x:c>
      <x:c r="L7" s="16" t="str">
        <x:v>Commissions / end-assets (%)</x:v>
      </x:c>
      <x:c r="M7" s="17" t="str">
        <x:v>Net profit / end-assets (%)</x:v>
      </x:c>
      <x:c r="N7" s="2"/>
    </x:row>
    <x:row r="8" ht="22" customHeight="1">
      <x:c r="A8" s="19" t="n">
        <x:v>1919</x:v>
      </x:c>
      <x:c r="B8" s="35" t="n">
        <x:f>100*SUMIFS('Annual funding'!$E$8:$E$26,'Annual funding'!$A$8:$A$26,$A8)/SUMIFS('Annual assets'!$C$8:$C$26,'Annual assets'!$A$8:$A$26,$A8)</x:f>
        <x:v>10.15562329536339</x:v>
      </x:c>
      <x:c r="C8" s="35" t="n">
        <x:f>100*SUMIFS('Annual assets'!$H$8:$H$26,'Annual assets'!$A$8:$A$26,$A8)/SUMIFS('Annual assets'!$C$8:$C$26,'Annual assets'!$A$8:$A$26,$A8)</x:f>
        <x:v>71.97176319589283</x:v>
      </x:c>
      <x:c r="D8" s="35" t="n">
        <x:f>100*SUMIFS('Annual assets'!$I$8:$I$26,'Annual assets'!$A$8:$A$26,$A8)/SUMIFS('Annual assets'!$C$8:$C$26,'Annual assets'!$A$8:$A$26,$A8)</x:f>
        <x:v>72.76592331140702</x:v>
      </x:c>
      <x:c r="E8" s="35" t="n">
        <x:f>100*SUMIFS('Annual assets'!$D$8:$D$26,'Annual assets'!$A$8:$A$26,$A8)/SUMIFS('Annual assets'!$C$8:$C$26,'Annual assets'!$A$8:$A$26,$A8)</x:f>
        <x:v>19.124017327129792</x:v>
      </x:c>
      <x:c r="F8" s="35" t="n">
        <x:f>100*SUMIFS('Annual assets'!$J$8:$J$26,'Annual assets'!$A$8:$A$26,$A8)/SUMIFS('Annual assets'!$C$8:$C$26,'Annual assets'!$A$8:$A$26,$A8)</x:f>
        <x:v>3.3691641264238728</x:v>
      </x:c>
      <x:c r="G8" s="35" t="n">
        <x:f>100*SUMIFS('Annual assets'!$K$8:$K$26,'Annual assets'!$A$8:$A$26,$A8)/SUMIFS('Annual assets'!$C$8:$C$26,'Annual assets'!$A$8:$A$26,$A8)</x:f>
        <x:v>1.5482111342852558</x:v>
      </x:c>
      <x:c r="H8" s="35" t="str">
        <x:f>IF(INDEX('Annual funding'!$K$8:$K$26,MATCH($A8,'Annual funding'!$A$8:$A$26,0)),100*SUMIFS('Annual funding'!$H$8:$H$26,'Annual funding'!$A$8:$A$26,$A8)/SUMIFS('Annual assets'!$C$8:$C$26,'Annual assets'!$A$8:$A$26,$A8),"")</x:f>
      </x:c>
      <x:c r="I8" s="35" t="str">
        <x:f>IF(INDEX('Annual funding'!$K$8:$K$26,MATCH($A8,'Annual funding'!$A$8:$A$26,0)),100*SUMIFS('Annual funding'!$I$8:$I$26,'Annual funding'!$A$8:$A$26,$A8)/SUMIFS('Annual assets'!$C$8:$C$26,'Annual assets'!$A$8:$A$26,$A8),"")</x:f>
      </x:c>
      <x:c r="J8" s="35" t="str">
        <x:f>IF(INDEX('Annual funding'!$K$8:$K$26,MATCH($A8,'Annual funding'!$A$8:$A$26,0)),100*SUMIFS('Annual assets'!$H$8:$H$26,'Annual assets'!$A$8:$A$26,$A8)/SUMIFS('Annual funding'!$H$8:$H$26,'Annual funding'!$A$8:$A$26,$A8),"")</x:f>
      </x:c>
      <x:c r="K8" s="35" t="n">
        <x:f>IF(INDEX('Annual income'!$K$8:$K$26,MATCH($A8,'Annual income'!$A$8:$A$26,0)),100*SUMIFS('Annual income'!$D$8:$D$26,'Annual income'!$A$8:$A$26,$A8)/SUMIFS('Annual assets'!$C$8:$C$26,'Annual assets'!$A$8:$A$26,$A8),"")</x:f>
        <x:v>1.1711856248997272</x:v>
      </x:c>
      <x:c r="L8" s="35" t="n">
        <x:f>IF(INDEX('Annual income'!$K$8:$K$26,MATCH($A8,'Annual income'!$A$8:$A$26,0)),100*SUMIFS('Annual income'!$E$8:$E$26,'Annual income'!$A$8:$A$26,$A8)/SUMIFS('Annual assets'!$C$8:$C$26,'Annual assets'!$A$8:$A$26,$A8),"")</x:f>
        <x:v>0.4010909674314134</x:v>
      </x:c>
      <x:c r="M8" s="35" t="n">
        <x:f>IF(INDEX('Annual income'!$K$8:$K$26,MATCH($A8,'Annual income'!$A$8:$A$26,0)),100*SUMIFS('Annual income'!$H$8:$H$26,'Annual income'!$A$8:$A$26,$A8)/SUMIFS('Annual assets'!$C$8:$C$26,'Annual assets'!$A$8:$A$26,$A8),"")</x:f>
        <x:v>0.5855928124498636</x:v>
      </x:c>
      <x:c r="N8" s="2"/>
    </x:row>
    <x:row r="9" ht="22" customHeight="1">
      <x:c r="A9" s="22" t="n">
        <x:v>1920</x:v>
      </x:c>
      <x:c r="B9" s="36" t="n">
        <x:f>100*SUMIFS('Annual funding'!$E$8:$E$26,'Annual funding'!$A$8:$A$26,$A9)/SUMIFS('Annual assets'!$C$8:$C$26,'Annual assets'!$A$8:$A$26,$A9)</x:f>
        <x:v>9.827686146387732</x:v>
      </x:c>
      <x:c r="C9" s="36" t="n">
        <x:f>100*SUMIFS('Annual assets'!$H$8:$H$26,'Annual assets'!$A$8:$A$26,$A9)/SUMIFS('Annual assets'!$C$8:$C$26,'Annual assets'!$A$8:$A$26,$A9)</x:f>
        <x:v>73.82094113927386</x:v>
      </x:c>
      <x:c r="D9" s="36" t="n">
        <x:f>100*SUMIFS('Annual assets'!$I$8:$I$26,'Annual assets'!$A$8:$A$26,$A9)/SUMIFS('Annual assets'!$C$8:$C$26,'Annual assets'!$A$8:$A$26,$A9)</x:f>
        <x:v>74.35316435685303</x:v>
      </x:c>
      <x:c r="E9" s="36" t="n">
        <x:f>100*SUMIFS('Annual assets'!$D$8:$D$26,'Annual assets'!$A$8:$A$26,$A9)/SUMIFS('Annual assets'!$C$8:$C$26,'Annual assets'!$A$8:$A$26,$A9)</x:f>
        <x:v>12.810243979554198</x:v>
      </x:c>
      <x:c r="F9" s="36" t="n">
        <x:f>100*SUMIFS('Annual assets'!$J$8:$J$26,'Annual assets'!$A$8:$A$26,$A9)/SUMIFS('Annual assets'!$C$8:$C$26,'Annual assets'!$A$8:$A$26,$A9)</x:f>
        <x:v>6.3866786109500975</x:v>
      </x:c>
      <x:c r="G9" s="36" t="n">
        <x:f>100*SUMIFS('Annual assets'!$K$8:$K$26,'Annual assets'!$A$8:$A$26,$A9)/SUMIFS('Annual assets'!$C$8:$C$26,'Annual assets'!$A$8:$A$26,$A9)</x:f>
        <x:v>1.986615376508405</x:v>
      </x:c>
      <x:c r="H9" s="36" t="n">
        <x:f>IF(INDEX('Annual funding'!$K$8:$K$26,MATCH($A9,'Annual funding'!$A$8:$A$26,0)),100*SUMIFS('Annual funding'!$H$8:$H$26,'Annual funding'!$A$8:$A$26,$A9)/SUMIFS('Annual assets'!$C$8:$C$26,'Annual assets'!$A$8:$A$26,$A9),"")</x:f>
        <x:v>56.64225114612425</x:v>
      </x:c>
      <x:c r="I9" s="36" t="n">
        <x:f>IF(INDEX('Annual funding'!$K$8:$K$26,MATCH($A9,'Annual funding'!$A$8:$A$26,0)),100*SUMIFS('Annual funding'!$I$8:$I$26,'Annual funding'!$A$8:$A$26,$A9)/SUMIFS('Annual assets'!$C$8:$C$26,'Annual assets'!$A$8:$A$26,$A9),"")</x:f>
        <x:v>28.19202192127312</x:v>
      </x:c>
      <x:c r="J9" s="36" t="n">
        <x:f>IF(INDEX('Annual funding'!$K$8:$K$26,MATCH($A9,'Annual funding'!$A$8:$A$26,0)),100*SUMIFS('Annual assets'!$H$8:$H$26,'Annual assets'!$A$8:$A$26,$A9)/SUMIFS('Annual funding'!$H$8:$H$26,'Annual funding'!$A$8:$A$26,$A9),"")</x:f>
        <x:v>130.32840264210625</x:v>
      </x:c>
      <x:c r="K9" s="36" t="n">
        <x:f>IF(INDEX('Annual income'!$K$8:$K$26,MATCH($A9,'Annual income'!$A$8:$A$26,0)),100*SUMIFS('Annual income'!$D$8:$D$26,'Annual income'!$A$8:$A$26,$A9)/SUMIFS('Annual assets'!$C$8:$C$26,'Annual assets'!$A$8:$A$26,$A9),"")</x:f>
        <x:v>1.760025293776677</x:v>
      </x:c>
      <x:c r="L9" s="36" t="n">
        <x:f>IF(INDEX('Annual income'!$K$8:$K$26,MATCH($A9,'Annual income'!$A$8:$A$26,0)),100*SUMIFS('Annual income'!$E$8:$E$26,'Annual income'!$A$8:$A$26,$A9)/SUMIFS('Annual assets'!$C$8:$C$26,'Annual assets'!$A$8:$A$26,$A9),"")</x:f>
        <x:v>0.9379775517731991</x:v>
      </x:c>
      <x:c r="M9" s="36" t="n">
        <x:f>IF(INDEX('Annual income'!$K$8:$K$26,MATCH($A9,'Annual income'!$A$8:$A$26,0)),100*SUMIFS('Annual income'!$H$8:$H$26,'Annual income'!$A$8:$A$26,$A9)/SUMIFS('Annual assets'!$C$8:$C$26,'Annual assets'!$A$8:$A$26,$A9),"")</x:f>
        <x:v>0.8800126468883385</x:v>
      </x:c>
      <x:c r="N9" s="2"/>
    </x:row>
    <x:row r="10" ht="22" customHeight="1">
      <x:c r="A10" s="19" t="n">
        <x:v>1921</x:v>
      </x:c>
      <x:c r="B10" s="35" t="n">
        <x:f>100*SUMIFS('Annual funding'!$E$8:$E$26,'Annual funding'!$A$8:$A$26,$A10)/SUMIFS('Annual assets'!$C$8:$C$26,'Annual assets'!$A$8:$A$26,$A10)</x:f>
        <x:v>8.808812848034863</x:v>
      </x:c>
      <x:c r="C10" s="35" t="n">
        <x:f>100*SUMIFS('Annual assets'!$H$8:$H$26,'Annual assets'!$A$8:$A$26,$A10)/SUMIFS('Annual assets'!$C$8:$C$26,'Annual assets'!$A$8:$A$26,$A10)</x:f>
        <x:v>79.00492292793156</x:v>
      </x:c>
      <x:c r="D10" s="35" t="n">
        <x:f>100*SUMIFS('Annual assets'!$I$8:$I$26,'Annual assets'!$A$8:$A$26,$A10)/SUMIFS('Annual assets'!$C$8:$C$26,'Annual assets'!$A$8:$A$26,$A10)</x:f>
        <x:v>79.44072310547979</x:v>
      </x:c>
      <x:c r="E10" s="35" t="n">
        <x:f>100*SUMIFS('Annual assets'!$D$8:$D$26,'Annual assets'!$A$8:$A$26,$A10)/SUMIFS('Annual assets'!$C$8:$C$26,'Annual assets'!$A$8:$A$26,$A10)</x:f>
        <x:v>10.83447663626826</x:v>
      </x:c>
      <x:c r="F10" s="35" t="n">
        <x:f>100*SUMIFS('Annual assets'!$J$8:$J$26,'Annual assets'!$A$8:$A$26,$A10)/SUMIFS('Annual assets'!$C$8:$C$26,'Annual assets'!$A$8:$A$26,$A10)</x:f>
        <x:v>3.062706803324994</x:v>
      </x:c>
      <x:c r="G10" s="35" t="n">
        <x:f>100*SUMIFS('Annual assets'!$K$8:$K$26,'Annual assets'!$A$8:$A$26,$A10)/SUMIFS('Annual assets'!$C$8:$C$26,'Annual assets'!$A$8:$A$26,$A10)</x:f>
        <x:v>2.0902267774997982</x:v>
      </x:c>
      <x:c r="H10" s="35" t="n">
        <x:f>IF(INDEX('Annual funding'!$K$8:$K$26,MATCH($A10,'Annual funding'!$A$8:$A$26,0)),100*SUMIFS('Annual funding'!$H$8:$H$26,'Annual funding'!$A$8:$A$26,$A10)/SUMIFS('Annual assets'!$C$8:$C$26,'Annual assets'!$A$8:$A$26,$A10),"")</x:f>
        <x:v>59.00250181583407</x:v>
      </x:c>
      <x:c r="I10" s="35" t="n">
        <x:f>IF(INDEX('Annual funding'!$K$8:$K$26,MATCH($A10,'Annual funding'!$A$8:$A$26,0)),100*SUMIFS('Annual funding'!$I$8:$I$26,'Annual funding'!$A$8:$A$26,$A10)/SUMIFS('Annual assets'!$C$8:$C$26,'Annual assets'!$A$8:$A$26,$A10),"")</x:f>
        <x:v>26.079412476797675</x:v>
      </x:c>
      <x:c r="J10" s="35" t="n">
        <x:f>IF(INDEX('Annual funding'!$K$8:$K$26,MATCH($A10,'Annual funding'!$A$8:$A$26,0)),100*SUMIFS('Annual assets'!$H$8:$H$26,'Annual assets'!$A$8:$A$26,$A10)/SUMIFS('Annual funding'!$H$8:$H$26,'Annual funding'!$A$8:$A$26,$A10),"")</x:f>
        <x:v>133.900971139379</x:v>
      </x:c>
      <x:c r="K10" s="35" t="n">
        <x:f>IF(INDEX('Annual income'!$K$8:$K$26,MATCH($A10,'Annual income'!$A$8:$A$26,0)),100*SUMIFS('Annual income'!$D$8:$D$26,'Annual income'!$A$8:$A$26,$A10)/SUMIFS('Annual assets'!$C$8:$C$26,'Annual assets'!$A$8:$A$26,$A10),"")</x:f>
        <x:v>1.872326688725688</x:v>
      </x:c>
      <x:c r="L10" s="35" t="n">
        <x:f>IF(INDEX('Annual income'!$K$8:$K$26,MATCH($A10,'Annual income'!$A$8:$A$26,0)),100*SUMIFS('Annual income'!$E$8:$E$26,'Annual income'!$A$8:$A$26,$A10)/SUMIFS('Annual assets'!$C$8:$C$26,'Annual assets'!$A$8:$A$26,$A10),"")</x:f>
        <x:v>1.0370430150915988</x:v>
      </x:c>
      <x:c r="M10" s="35" t="n">
        <x:f>IF(INDEX('Annual income'!$K$8:$K$26,MATCH($A10,'Annual income'!$A$8:$A$26,0)),100*SUMIFS('Annual income'!$H$8:$H$26,'Annual income'!$A$8:$A$26,$A10)/SUMIFS('Annual assets'!$C$8:$C$26,'Annual assets'!$A$8:$A$26,$A10),"")</x:f>
        <x:v>0.8635299814381406</x:v>
      </x:c>
      <x:c r="N10" s="2"/>
    </x:row>
    <x:row r="11" ht="22" customHeight="1">
      <x:c r="A11" s="22" t="n">
        <x:v>1922</x:v>
      </x:c>
      <x:c r="B11" s="36" t="n">
        <x:f>100*SUMIFS('Annual funding'!$E$8:$E$26,'Annual funding'!$A$8:$A$26,$A11)/SUMIFS('Annual assets'!$C$8:$C$26,'Annual assets'!$A$8:$A$26,$A11)</x:f>
        <x:v>9.10945183026771</x:v>
      </x:c>
      <x:c r="C11" s="36" t="n">
        <x:f>100*SUMIFS('Annual assets'!$H$8:$H$26,'Annual assets'!$A$8:$A$26,$A11)/SUMIFS('Annual assets'!$C$8:$C$26,'Annual assets'!$A$8:$A$26,$A11)</x:f>
        <x:v>79.77417592423967</x:v>
      </x:c>
      <x:c r="D11" s="36" t="n">
        <x:f>100*SUMIFS('Annual assets'!$I$8:$I$26,'Annual assets'!$A$8:$A$26,$A11)/SUMIFS('Annual assets'!$C$8:$C$26,'Annual assets'!$A$8:$A$26,$A11)</x:f>
        <x:v>80.49171371334911</x:v>
      </x:c>
      <x:c r="E11" s="36" t="n">
        <x:f>100*SUMIFS('Annual assets'!$D$8:$D$26,'Annual assets'!$A$8:$A$26,$A11)/SUMIFS('Annual assets'!$C$8:$C$26,'Annual assets'!$A$8:$A$26,$A11)</x:f>
        <x:v>10.122017847386633</x:v>
      </x:c>
      <x:c r="F11" s="36" t="n">
        <x:f>100*SUMIFS('Annual assets'!$J$8:$J$26,'Annual assets'!$A$8:$A$26,$A11)/SUMIFS('Annual assets'!$C$8:$C$26,'Annual assets'!$A$8:$A$26,$A11)</x:f>
        <x:v>4.705882352941177</x:v>
      </x:c>
      <x:c r="G11" s="36" t="n">
        <x:f>100*SUMIFS('Annual assets'!$K$8:$K$26,'Annual assets'!$A$8:$A$26,$A11)/SUMIFS('Annual assets'!$C$8:$C$26,'Annual assets'!$A$8:$A$26,$A11)</x:f>
        <x:v>1.4423602258240757</x:v>
      </x:c>
      <x:c r="H11" s="36" t="n">
        <x:f>IF(INDEX('Annual funding'!$K$8:$K$26,MATCH($A11,'Annual funding'!$A$8:$A$26,0)),100*SUMIFS('Annual funding'!$H$8:$H$26,'Annual funding'!$A$8:$A$26,$A11)/SUMIFS('Annual assets'!$C$8:$C$26,'Annual assets'!$A$8:$A$26,$A11),"")</x:f>
        <x:v>62.85922418503005</x:v>
      </x:c>
      <x:c r="I11" s="36" t="n">
        <x:f>IF(INDEX('Annual funding'!$K$8:$K$26,MATCH($A11,'Annual funding'!$A$8:$A$26,0)),100*SUMIFS('Annual funding'!$I$8:$I$26,'Annual funding'!$A$8:$A$26,$A11)/SUMIFS('Annual assets'!$C$8:$C$26,'Annual assets'!$A$8:$A$26,$A11),"")</x:f>
        <x:v>22.1671826625387</x:v>
      </x:c>
      <x:c r="J11" s="36" t="n">
        <x:f>IF(INDEX('Annual funding'!$K$8:$K$26,MATCH($A11,'Annual funding'!$A$8:$A$26,0)),100*SUMIFS('Annual assets'!$H$8:$H$26,'Annual assets'!$A$8:$A$26,$A11)/SUMIFS('Annual funding'!$H$8:$H$26,'Annual funding'!$A$8:$A$26,$A11),"")</x:f>
        <x:v>126.9092594738672</x:v>
      </x:c>
      <x:c r="K11" s="36" t="n">
        <x:f>IF(INDEX('Annual income'!$K$8:$K$26,MATCH($A11,'Annual income'!$A$8:$A$26,0)),100*SUMIFS('Annual income'!$D$8:$D$26,'Annual income'!$A$8:$A$26,$A11)/SUMIFS('Annual assets'!$C$8:$C$26,'Annual assets'!$A$8:$A$26,$A11),"")</x:f>
        <x:v>2.1598980149335274</x:v>
      </x:c>
      <x:c r="L11" s="36" t="n">
        <x:f>IF(INDEX('Annual income'!$K$8:$K$26,MATCH($A11,'Annual income'!$A$8:$A$26,0)),100*SUMIFS('Annual income'!$E$8:$E$26,'Annual income'!$A$8:$A$26,$A11)/SUMIFS('Annual assets'!$C$8:$C$26,'Annual assets'!$A$8:$A$26,$A11),"")</x:f>
        <x:v>1.1181934073939173</x:v>
      </x:c>
      <x:c r="M11" s="36" t="n">
        <x:f>IF(INDEX('Annual income'!$K$8:$K$26,MATCH($A11,'Annual income'!$A$8:$A$26,0)),100*SUMIFS('Annual income'!$H$8:$H$26,'Annual income'!$A$8:$A$26,$A11)/SUMIFS('Annual assets'!$C$8:$C$26,'Annual assets'!$A$8:$A$26,$A11),"")</x:f>
        <x:v>0.9287925696594427</x:v>
      </x:c>
      <x:c r="N11" s="2"/>
    </x:row>
    <x:row r="12" ht="22" customHeight="1">
      <x:c r="A12" s="19" t="n">
        <x:v>1923</x:v>
      </x:c>
      <x:c r="B12" s="35" t="n">
        <x:f>100*SUMIFS('Annual funding'!$E$8:$E$26,'Annual funding'!$A$8:$A$26,$A12)/SUMIFS('Annual assets'!$C$8:$C$26,'Annual assets'!$A$8:$A$26,$A12)</x:f>
        <x:v>9.791713832918271</x:v>
      </x:c>
      <x:c r="C12" s="35" t="n">
        <x:f>100*SUMIFS('Annual assets'!$H$8:$H$26,'Annual assets'!$A$8:$A$26,$A12)/SUMIFS('Annual assets'!$C$8:$C$26,'Annual assets'!$A$8:$A$26,$A12)</x:f>
        <x:v>76.11878348803864</x:v>
      </x:c>
      <x:c r="D12" s="35" t="n">
        <x:f>100*SUMIFS('Annual assets'!$I$8:$I$26,'Annual assets'!$A$8:$A$26,$A12)/SUMIFS('Annual assets'!$C$8:$C$26,'Annual assets'!$A$8:$A$26,$A12)</x:f>
        <x:v>76.85080371292733</x:v>
      </x:c>
      <x:c r="E12" s="35" t="n">
        <x:f>100*SUMIFS('Annual assets'!$D$8:$D$26,'Annual assets'!$A$8:$A$26,$A12)/SUMIFS('Annual assets'!$C$8:$C$26,'Annual assets'!$A$8:$A$26,$A12)</x:f>
        <x:v>8.38804618519357</x:v>
      </x:c>
      <x:c r="F12" s="35" t="n">
        <x:f>100*SUMIFS('Annual assets'!$J$8:$J$26,'Annual assets'!$A$8:$A$26,$A12)/SUMIFS('Annual assets'!$C$8:$C$26,'Annual assets'!$A$8:$A$26,$A12)</x:f>
        <x:v>9.60304882650366</x:v>
      </x:c>
      <x:c r="G12" s="35" t="n">
        <x:f>100*SUMIFS('Annual assets'!$K$8:$K$26,'Annual assets'!$A$8:$A$26,$A12)/SUMIFS('Annual assets'!$C$8:$C$26,'Annual assets'!$A$8:$A$26,$A12)</x:f>
        <x:v>1.6677986567051544</x:v>
      </x:c>
      <x:c r="H12" s="35" t="n">
        <x:f>IF(INDEX('Annual funding'!$K$8:$K$26,MATCH($A12,'Annual funding'!$A$8:$A$26,0)),100*SUMIFS('Annual funding'!$H$8:$H$26,'Annual funding'!$A$8:$A$26,$A12)/SUMIFS('Annual assets'!$C$8:$C$26,'Annual assets'!$A$8:$A$26,$A12),"")</x:f>
        <x:v>60.38034865293186</x:v>
      </x:c>
      <x:c r="I12" s="35" t="n">
        <x:f>IF(INDEX('Annual funding'!$K$8:$K$26,MATCH($A12,'Annual funding'!$A$8:$A$26,0)),100*SUMIFS('Annual funding'!$I$8:$I$26,'Annual funding'!$A$8:$A$26,$A12)/SUMIFS('Annual assets'!$C$8:$C$26,'Annual assets'!$A$8:$A$26,$A12),"")</x:f>
        <x:v>23.02090408271074</x:v>
      </x:c>
      <x:c r="J12" s="35" t="n">
        <x:f>IF(INDEX('Annual funding'!$K$8:$K$26,MATCH($A12,'Annual funding'!$A$8:$A$26,0)),100*SUMIFS('Annual assets'!$H$8:$H$26,'Annual assets'!$A$8:$A$26,$A12)/SUMIFS('Annual funding'!$H$8:$H$26,'Annual funding'!$A$8:$A$26,$A12),"")</x:f>
        <x:v>126.06549181352331</x:v>
      </x:c>
      <x:c r="K12" s="35" t="n">
        <x:f>IF(INDEX('Annual income'!$K$8:$K$26,MATCH($A12,'Annual income'!$A$8:$A$26,0)),100*SUMIFS('Annual income'!$D$8:$D$26,'Annual income'!$A$8:$A$26,$A12)/SUMIFS('Annual assets'!$C$8:$C$26,'Annual assets'!$A$8:$A$26,$A12),"")</x:f>
        <x:v>2.13946117274168</x:v>
      </x:c>
      <x:c r="L12" s="35" t="n">
        <x:f>IF(INDEX('Annual income'!$K$8:$K$26,MATCH($A12,'Annual income'!$A$8:$A$26,0)),100*SUMIFS('Annual income'!$E$8:$E$26,'Annual income'!$A$8:$A$26,$A12)/SUMIFS('Annual assets'!$C$8:$C$26,'Annual assets'!$A$8:$A$26,$A12),"")</x:f>
        <x:v>1.1885895404120443</x:v>
      </x:c>
      <x:c r="M12" s="35" t="n">
        <x:f>IF(INDEX('Annual income'!$K$8:$K$26,MATCH($A12,'Annual income'!$A$8:$A$26,0)),100*SUMIFS('Annual income'!$H$8:$H$26,'Annual income'!$A$8:$A$26,$A12)/SUMIFS('Annual assets'!$C$8:$C$26,'Annual assets'!$A$8:$A$26,$A12),"")</x:f>
        <x:v>0.9018187306618368</x:v>
      </x:c>
      <x:c r="N12" s="2"/>
    </x:row>
    <x:row r="13" ht="22" customHeight="1">
      <x:c r="A13" s="22" t="n">
        <x:v>1924</x:v>
      </x:c>
      <x:c r="B13" s="36" t="n">
        <x:f>100*SUMIFS('Annual funding'!$E$8:$E$26,'Annual funding'!$A$8:$A$26,$A13)/SUMIFS('Annual assets'!$C$8:$C$26,'Annual assets'!$A$8:$A$26,$A13)</x:f>
        <x:v>10.524276359127368</x:v>
      </x:c>
      <x:c r="C13" s="36" t="n">
        <x:f>100*SUMIFS('Annual assets'!$H$8:$H$26,'Annual assets'!$A$8:$A$26,$A13)/SUMIFS('Annual assets'!$C$8:$C$26,'Annual assets'!$A$8:$A$26,$A13)</x:f>
        <x:v>77.93621885534932</x:v>
      </x:c>
      <x:c r="D13" s="36" t="n">
        <x:f>100*SUMIFS('Annual assets'!$I$8:$I$26,'Annual assets'!$A$8:$A$26,$A13)/SUMIFS('Annual assets'!$C$8:$C$26,'Annual assets'!$A$8:$A$26,$A13)</x:f>
        <x:v>78.69182779865928</x:v>
      </x:c>
      <x:c r="E13" s="36" t="n">
        <x:f>100*SUMIFS('Annual assets'!$D$8:$D$26,'Annual assets'!$A$8:$A$26,$A13)/SUMIFS('Annual assets'!$C$8:$C$26,'Annual assets'!$A$8:$A$26,$A13)</x:f>
        <x:v>9.059557484403456</x:v>
      </x:c>
      <x:c r="F13" s="36" t="n">
        <x:f>100*SUMIFS('Annual assets'!$J$8:$J$26,'Annual assets'!$A$8:$A$26,$A13)/SUMIFS('Annual assets'!$C$8:$C$26,'Annual assets'!$A$8:$A$26,$A13)</x:f>
        <x:v>7.226721432169566</x:v>
      </x:c>
      <x:c r="G13" s="36" t="n">
        <x:f>100*SUMIFS('Annual assets'!$K$8:$K$26,'Annual assets'!$A$8:$A$26,$A13)/SUMIFS('Annual assets'!$C$8:$C$26,'Annual assets'!$A$8:$A$26,$A13)</x:f>
        <x:v>1.8483357228658892</x:v>
      </x:c>
      <x:c r="H13" s="36" t="n">
        <x:f>IF(INDEX('Annual funding'!$K$8:$K$26,MATCH($A13,'Annual funding'!$A$8:$A$26,0)),100*SUMIFS('Annual funding'!$H$8:$H$26,'Annual funding'!$A$8:$A$26,$A13)/SUMIFS('Annual assets'!$C$8:$C$26,'Annual assets'!$A$8:$A$26,$A13),"")</x:f>
        <x:v>60.584337582826365</x:v>
      </x:c>
      <x:c r="I13" s="36" t="n">
        <x:f>IF(INDEX('Annual funding'!$K$8:$K$26,MATCH($A13,'Annual funding'!$A$8:$A$26,0)),100*SUMIFS('Annual funding'!$I$8:$I$26,'Annual funding'!$A$8:$A$26,$A13)/SUMIFS('Annual assets'!$C$8:$C$26,'Annual assets'!$A$8:$A$26,$A13),"")</x:f>
        <x:v>22.063781144650676</x:v>
      </x:c>
      <x:c r="J13" s="36" t="n">
        <x:f>IF(INDEX('Annual funding'!$K$8:$K$26,MATCH($A13,'Annual funding'!$A$8:$A$26,0)),100*SUMIFS('Annual assets'!$H$8:$H$26,'Annual assets'!$A$8:$A$26,$A13)/SUMIFS('Annual funding'!$H$8:$H$26,'Annual funding'!$A$8:$A$26,$A13),"")</x:f>
        <x:v>128.6408698433003</x:v>
      </x:c>
      <x:c r="K13" s="36" t="n">
        <x:f>IF(INDEX('Annual income'!$K$8:$K$26,MATCH($A13,'Annual income'!$A$8:$A$26,0)),100*SUMIFS('Annual income'!$D$8:$D$26,'Annual income'!$A$8:$A$26,$A13)/SUMIFS('Annual assets'!$C$8:$C$26,'Annual assets'!$A$8:$A$26,$A13),"")</x:f>
        <x:v>2.2087030650598676</x:v>
      </x:c>
      <x:c r="L13" s="36" t="n">
        <x:f>IF(INDEX('Annual income'!$K$8:$K$26,MATCH($A13,'Annual income'!$A$8:$A$26,0)),100*SUMIFS('Annual income'!$E$8:$E$26,'Annual income'!$A$8:$A$26,$A13)/SUMIFS('Annual assets'!$C$8:$C$26,'Annual assets'!$A$8:$A$26,$A13),"")</x:f>
        <x:v>1.2244739799279265</x:v>
      </x:c>
      <x:c r="M13" s="36" t="n">
        <x:f>IF(INDEX('Annual income'!$K$8:$K$26,MATCH($A13,'Annual income'!$A$8:$A$26,0)),100*SUMIFS('Annual income'!$H$8:$H$26,'Annual income'!$A$8:$A$26,$A13)/SUMIFS('Annual assets'!$C$8:$C$26,'Annual assets'!$A$8:$A$26,$A13),"")</x:f>
        <x:v>0.9028558143139458</x:v>
      </x:c>
      <x:c r="N13" s="2"/>
    </x:row>
    <x:row r="14" ht="22" customHeight="1">
      <x:c r="A14" s="19" t="n">
        <x:v>1925</x:v>
      </x:c>
      <x:c r="B14" s="35" t="n">
        <x:f>100*SUMIFS('Annual funding'!$E$8:$E$26,'Annual funding'!$A$8:$A$26,$A14)/SUMIFS('Annual assets'!$C$8:$C$26,'Annual assets'!$A$8:$A$26,$A14)</x:f>
        <x:v>10.641976257251526</x:v>
      </x:c>
      <x:c r="C14" s="35" t="n">
        <x:f>100*SUMIFS('Annual assets'!$H$8:$H$26,'Annual assets'!$A$8:$A$26,$A14)/SUMIFS('Annual assets'!$C$8:$C$26,'Annual assets'!$A$8:$A$26,$A14)</x:f>
        <x:v>77.66337546582658</x:v>
      </x:c>
      <x:c r="D14" s="35" t="n">
        <x:f>100*SUMIFS('Annual assets'!$I$8:$I$26,'Annual assets'!$A$8:$A$26,$A14)/SUMIFS('Annual assets'!$C$8:$C$26,'Annual assets'!$A$8:$A$26,$A14)</x:f>
        <x:v>78.40101425333282</x:v>
      </x:c>
      <x:c r="E14" s="35" t="n">
        <x:f>100*SUMIFS('Annual assets'!$D$8:$D$26,'Annual assets'!$A$8:$A$26,$A14)/SUMIFS('Annual assets'!$C$8:$C$26,'Annual assets'!$A$8:$A$26,$A14)</x:f>
        <x:v>9.81981635867686</x:v>
      </x:c>
      <x:c r="F14" s="35" t="n">
        <x:f>100*SUMIFS('Annual assets'!$J$8:$J$26,'Annual assets'!$A$8:$A$26,$A14)/SUMIFS('Annual assets'!$C$8:$C$26,'Annual assets'!$A$8:$A$26,$A14)</x:f>
        <x:v>6.857735602597103</x:v>
      </x:c>
      <x:c r="G14" s="35" t="n">
        <x:f>100*SUMIFS('Annual assets'!$K$8:$K$26,'Annual assets'!$A$8:$A$26,$A14)/SUMIFS('Annual assets'!$C$8:$C$26,'Annual assets'!$A$8:$A$26,$A14)</x:f>
        <x:v>1.8517807061354643</x:v>
      </x:c>
      <x:c r="H14" s="35" t="n">
        <x:f>IF(INDEX('Annual funding'!$K$8:$K$26,MATCH($A14,'Annual funding'!$A$8:$A$26,0)),100*SUMIFS('Annual funding'!$H$8:$H$26,'Annual funding'!$A$8:$A$26,$A14)/SUMIFS('Annual assets'!$C$8:$C$26,'Annual assets'!$A$8:$A$26,$A14),"")</x:f>
        <x:v>61.608206231511005</x:v>
      </x:c>
      <x:c r="I14" s="35" t="n">
        <x:f>IF(INDEX('Annual funding'!$K$8:$K$26,MATCH($A14,'Annual funding'!$A$8:$A$26,0)),100*SUMIFS('Annual funding'!$I$8:$I$26,'Annual funding'!$A$8:$A$26,$A14)/SUMIFS('Annual assets'!$C$8:$C$26,'Annual assets'!$A$8:$A$26,$A14),"")</x:f>
        <x:v>22.198317261516003</x:v>
      </x:c>
      <x:c r="J14" s="35" t="n">
        <x:f>IF(INDEX('Annual funding'!$K$8:$K$26,MATCH($A14,'Annual funding'!$A$8:$A$26,0)),100*SUMIFS('Annual assets'!$H$8:$H$26,'Annual assets'!$A$8:$A$26,$A14)/SUMIFS('Annual funding'!$H$8:$H$26,'Annual funding'!$A$8:$A$26,$A14),"")</x:f>
        <x:v>126.06011474183089</x:v>
      </x:c>
      <x:c r="K14" s="35" t="n">
        <x:f>IF(INDEX('Annual income'!$K$8:$K$26,MATCH($A14,'Annual income'!$A$8:$A$26,0)),100*SUMIFS('Annual income'!$D$8:$D$26,'Annual income'!$A$8:$A$26,$A14)/SUMIFS('Annual assets'!$C$8:$C$26,'Annual assets'!$A$8:$A$26,$A14),"")</x:f>
        <x:v>2.0400322716969534</x:v>
      </x:c>
      <x:c r="L14" s="35" t="n">
        <x:f>IF(INDEX('Annual income'!$K$8:$K$26,MATCH($A14,'Annual income'!$A$8:$A$26,0)),100*SUMIFS('Annual income'!$E$8:$E$26,'Annual income'!$A$8:$A$26,$A14)/SUMIFS('Annual assets'!$C$8:$C$26,'Annual assets'!$A$8:$A$26,$A14),"")</x:f>
        <x:v>1.1909792923277882</x:v>
      </x:c>
      <x:c r="M14" s="35" t="n">
        <x:f>IF(INDEX('Annual income'!$K$8:$K$26,MATCH($A14,'Annual income'!$A$8:$A$26,0)),100*SUMIFS('Annual income'!$H$8:$H$26,'Annual income'!$A$8:$A$26,$A14)/SUMIFS('Annual assets'!$C$8:$C$26,'Annual assets'!$A$8:$A$26,$A14),"")</x:f>
        <x:v>0.891313534903377</x:v>
      </x:c>
      <x:c r="N14" s="2"/>
    </x:row>
    <x:row r="15" ht="22" customHeight="1">
      <x:c r="A15" s="22" t="n">
        <x:v>1926</x:v>
      </x:c>
      <x:c r="B15" s="36" t="n">
        <x:f>100*SUMIFS('Annual funding'!$E$8:$E$26,'Annual funding'!$A$8:$A$26,$A15)/SUMIFS('Annual assets'!$C$8:$C$26,'Annual assets'!$A$8:$A$26,$A15)</x:f>
        <x:v>11.178384923938545</x:v>
      </x:c>
      <x:c r="C15" s="36" t="n">
        <x:f>100*SUMIFS('Annual assets'!$H$8:$H$26,'Annual assets'!$A$8:$A$26,$A15)/SUMIFS('Annual assets'!$C$8:$C$26,'Annual assets'!$A$8:$A$26,$A15)</x:f>
        <x:v>75.15325815484749</x:v>
      </x:c>
      <x:c r="D15" s="36" t="n">
        <x:f>100*SUMIFS('Annual assets'!$I$8:$I$26,'Annual assets'!$A$8:$A$26,$A15)/SUMIFS('Annual assets'!$C$8:$C$26,'Annual assets'!$A$8:$A$26,$A15)</x:f>
        <x:v>75.87981533338379</x:v>
      </x:c>
      <x:c r="E15" s="36" t="n">
        <x:f>100*SUMIFS('Annual assets'!$D$8:$D$26,'Annual assets'!$A$8:$A$26,$A15)/SUMIFS('Annual assets'!$C$8:$C$26,'Annual assets'!$A$8:$A$26,$A15)</x:f>
        <x:v>9.615530159691213</x:v>
      </x:c>
      <x:c r="F15" s="36" t="n">
        <x:f>100*SUMIFS('Annual assets'!$J$8:$J$26,'Annual assets'!$A$8:$A$26,$A15)/SUMIFS('Annual assets'!$C$8:$C$26,'Annual assets'!$A$8:$A$26,$A15)</x:f>
        <x:v>8.135926738817831</x:v>
      </x:c>
      <x:c r="G15" s="36" t="n">
        <x:f>100*SUMIFS('Annual assets'!$K$8:$K$26,'Annual assets'!$A$8:$A$26,$A15)/SUMIFS('Annual assets'!$C$8:$C$26,'Annual assets'!$A$8:$A$26,$A15)</x:f>
        <x:v>3.114357072580035</x:v>
      </x:c>
      <x:c r="H15" s="36" t="n">
        <x:f>IF(INDEX('Annual funding'!$K$8:$K$26,MATCH($A15,'Annual funding'!$A$8:$A$26,0)),100*SUMIFS('Annual funding'!$H$8:$H$26,'Annual funding'!$A$8:$A$26,$A15)/SUMIFS('Annual assets'!$C$8:$C$26,'Annual assets'!$A$8:$A$26,$A15),"")</x:f>
        <x:v>61.11027018845077</x:v>
      </x:c>
      <x:c r="I15" s="36" t="n">
        <x:f>IF(INDEX('Annual funding'!$K$8:$K$26,MATCH($A15,'Annual funding'!$A$8:$A$26,0)),100*SUMIFS('Annual funding'!$I$8:$I$26,'Annual funding'!$A$8:$A$26,$A15)/SUMIFS('Annual assets'!$C$8:$C$26,'Annual assets'!$A$8:$A$26,$A15),"")</x:f>
        <x:v>22.33406493604783</x:v>
      </x:c>
      <x:c r="J15" s="36" t="n">
        <x:f>IF(INDEX('Annual funding'!$K$8:$K$26,MATCH($A15,'Annual funding'!$A$8:$A$26,0)),100*SUMIFS('Annual assets'!$H$8:$H$26,'Annual assets'!$A$8:$A$26,$A15)/SUMIFS('Annual funding'!$H$8:$H$26,'Annual funding'!$A$8:$A$26,$A15),"")</x:f>
        <x:v>122.97975106817759</x:v>
      </x:c>
      <x:c r="K15" s="36" t="n">
        <x:f>IF(INDEX('Annual income'!$K$8:$K$26,MATCH($A15,'Annual income'!$A$8:$A$26,0)),100*SUMIFS('Annual income'!$D$8:$D$26,'Annual income'!$A$8:$A$26,$A15)/SUMIFS('Annual assets'!$C$8:$C$26,'Annual assets'!$A$8:$A$26,$A15),"")</x:f>
        <x:v>1.8163929463407251</x:v>
      </x:c>
      <x:c r="L15" s="36" t="n">
        <x:f>IF(INDEX('Annual income'!$K$8:$K$26,MATCH($A15,'Annual income'!$A$8:$A$26,0)),100*SUMIFS('Annual income'!$E$8:$E$26,'Annual income'!$A$8:$A$26,$A15)/SUMIFS('Annual assets'!$C$8:$C$26,'Annual assets'!$A$8:$A$26,$A15),"")</x:f>
        <x:v>1.067130855975176</x:v>
      </x:c>
      <x:c r="M15" s="36" t="n">
        <x:f>IF(INDEX('Annual income'!$K$8:$K$26,MATCH($A15,'Annual income'!$A$8:$A$26,0)),100*SUMIFS('Annual income'!$H$8:$H$26,'Annual income'!$A$8:$A$26,$A15)/SUMIFS('Annual assets'!$C$8:$C$26,'Annual assets'!$A$8:$A$26,$A15),"")</x:f>
        <x:v>0.8400817376825853</x:v>
      </x:c>
      <x:c r="N15" s="2"/>
    </x:row>
    <x:row r="16" ht="22" customHeight="1">
      <x:c r="A16" s="19" t="n">
        <x:v>1927</x:v>
      </x:c>
      <x:c r="B16" s="35" t="n">
        <x:f>100*SUMIFS('Annual funding'!$E$8:$E$26,'Annual funding'!$A$8:$A$26,$A16)/SUMIFS('Annual assets'!$C$8:$C$26,'Annual assets'!$A$8:$A$26,$A16)</x:f>
        <x:v>10.0981862811946</x:v>
      </x:c>
      <x:c r="C16" s="35" t="n">
        <x:f>100*SUMIFS('Annual assets'!$H$8:$H$26,'Annual assets'!$A$8:$A$26,$A16)/SUMIFS('Annual assets'!$C$8:$C$26,'Annual assets'!$A$8:$A$26,$A16)</x:f>
        <x:v>74.04200190917769</x:v>
      </x:c>
      <x:c r="D16" s="35" t="n">
        <x:f>100*SUMIFS('Annual assets'!$I$8:$I$26,'Annual assets'!$A$8:$A$26,$A16)/SUMIFS('Annual assets'!$C$8:$C$26,'Annual assets'!$A$8:$A$26,$A16)</x:f>
        <x:v>74.74771580526388</x:v>
      </x:c>
      <x:c r="E16" s="35" t="n">
        <x:f>100*SUMIFS('Annual assets'!$D$8:$D$26,'Annual assets'!$A$8:$A$26,$A16)/SUMIFS('Annual assets'!$C$8:$C$26,'Annual assets'!$A$8:$A$26,$A16)</x:f>
        <x:v>10.033410609573162</x:v>
      </x:c>
      <x:c r="F16" s="35" t="n">
        <x:f>100*SUMIFS('Annual assets'!$J$8:$J$26,'Annual assets'!$A$8:$A$26,$A16)/SUMIFS('Annual assets'!$C$8:$C$26,'Annual assets'!$A$8:$A$26,$A16)</x:f>
        <x:v>9.447020319105414</x:v>
      </x:c>
      <x:c r="G16" s="35" t="n">
        <x:f>100*SUMIFS('Annual assets'!$K$8:$K$26,'Annual assets'!$A$8:$A$26,$A16)/SUMIFS('Annual assets'!$C$8:$C$26,'Annual assets'!$A$8:$A$26,$A16)</x:f>
        <x:v>2.9933178780853673</x:v>
      </x:c>
      <x:c r="H16" s="35" t="n">
        <x:f>IF(INDEX('Annual funding'!$K$8:$K$26,MATCH($A16,'Annual funding'!$A$8:$A$26,0)),100*SUMIFS('Annual funding'!$H$8:$H$26,'Annual funding'!$A$8:$A$26,$A16)/SUMIFS('Annual assets'!$C$8:$C$26,'Annual assets'!$A$8:$A$26,$A16),"")</x:f>
        <x:v>58.88108550388654</x:v>
      </x:c>
      <x:c r="I16" s="35" t="n">
        <x:f>IF(INDEX('Annual funding'!$K$8:$K$26,MATCH($A16,'Annual funding'!$A$8:$A$26,0)),100*SUMIFS('Annual funding'!$I$8:$I$26,'Annual funding'!$A$8:$A$26,$A16)/SUMIFS('Annual assets'!$C$8:$C$26,'Annual assets'!$A$8:$A$26,$A16),"")</x:f>
        <x:v>25.90345015682531</x:v>
      </x:c>
      <x:c r="J16" s="35" t="n">
        <x:f>IF(INDEX('Annual funding'!$K$8:$K$26,MATCH($A16,'Annual funding'!$A$8:$A$26,0)),100*SUMIFS('Annual assets'!$H$8:$H$26,'Annual assets'!$A$8:$A$26,$A16)/SUMIFS('Annual funding'!$H$8:$H$26,'Annual funding'!$A$8:$A$26,$A16),"")</x:f>
        <x:v>125.74836431011522</x:v>
      </x:c>
      <x:c r="K16" s="35" t="n">
        <x:f>IF(INDEX('Annual income'!$K$8:$K$26,MATCH($A16,'Annual income'!$A$8:$A$26,0)),100*SUMIFS('Annual income'!$D$8:$D$26,'Annual income'!$A$8:$A$26,$A16)/SUMIFS('Annual assets'!$C$8:$C$26,'Annual assets'!$A$8:$A$26,$A16),"")</x:f>
        <x:v>1.6739397245329333</x:v>
      </x:c>
      <x:c r="L16" s="35" t="n">
        <x:f>IF(INDEX('Annual income'!$K$8:$K$26,MATCH($A16,'Annual income'!$A$8:$A$26,0)),100*SUMIFS('Annual income'!$E$8:$E$26,'Annual income'!$A$8:$A$26,$A16)/SUMIFS('Annual assets'!$C$8:$C$26,'Annual assets'!$A$8:$A$26,$A16),"")</x:f>
        <x:v>0.9579980908223101</x:v>
      </x:c>
      <x:c r="M16" s="35" t="n">
        <x:f>IF(INDEX('Annual income'!$K$8:$K$26,MATCH($A16,'Annual income'!$A$8:$A$26,0)),100*SUMIFS('Annual income'!$H$8:$H$26,'Annual income'!$A$8:$A$26,$A16)/SUMIFS('Annual assets'!$C$8:$C$26,'Annual assets'!$A$8:$A$26,$A16),"")</x:f>
        <x:v>0.7023046502113732</x:v>
      </x:c>
      <x:c r="N16" s="2"/>
    </x:row>
    <x:row r="17" ht="22" customHeight="1">
      <x:c r="A17" s="22" t="n">
        <x:v>1928</x:v>
      </x:c>
      <x:c r="B17" s="36" t="n">
        <x:f>100*SUMIFS('Annual funding'!$E$8:$E$26,'Annual funding'!$A$8:$A$26,$A17)/SUMIFS('Annual assets'!$C$8:$C$26,'Annual assets'!$A$8:$A$26,$A17)</x:f>
        <x:v>9.824122215803325</x:v>
      </x:c>
      <x:c r="C17" s="36" t="n">
        <x:f>100*SUMIFS('Annual assets'!$H$8:$H$26,'Annual assets'!$A$8:$A$26,$A17)/SUMIFS('Annual assets'!$C$8:$C$26,'Annual assets'!$A$8:$A$26,$A17)</x:f>
        <x:v>73.64079851081584</x:v>
      </x:c>
      <x:c r="D17" s="36" t="n">
        <x:f>100*SUMIFS('Annual assets'!$I$8:$I$26,'Annual assets'!$A$8:$A$26,$A17)/SUMIFS('Annual assets'!$C$8:$C$26,'Annual assets'!$A$8:$A$26,$A17)</x:f>
        <x:v>74.3436677578792</x:v>
      </x:c>
      <x:c r="E17" s="36" t="n">
        <x:f>100*SUMIFS('Annual assets'!$D$8:$D$26,'Annual assets'!$A$8:$A$26,$A17)/SUMIFS('Annual assets'!$C$8:$C$26,'Annual assets'!$A$8:$A$26,$A17)</x:f>
        <x:v>10.382566275113936</x:v>
      </x:c>
      <x:c r="F17" s="36" t="n">
        <x:f>100*SUMIFS('Annual assets'!$J$8:$J$26,'Annual assets'!$A$8:$A$26,$A17)/SUMIFS('Annual assets'!$C$8:$C$26,'Annual assets'!$A$8:$A$26,$A17)</x:f>
        <x:v>9.44861672764619</x:v>
      </x:c>
      <x:c r="G17" s="36" t="n">
        <x:f>100*SUMIFS('Annual assets'!$K$8:$K$26,'Annual assets'!$A$8:$A$26,$A17)/SUMIFS('Annual assets'!$C$8:$C$26,'Annual assets'!$A$8:$A$26,$A17)</x:f>
        <x:v>3.0168816997239873</x:v>
      </x:c>
      <x:c r="H17" s="36" t="n">
        <x:f>IF(INDEX('Annual funding'!$K$8:$K$26,MATCH($A17,'Annual funding'!$A$8:$A$26,0)),100*SUMIFS('Annual funding'!$H$8:$H$26,'Annual funding'!$A$8:$A$26,$A17)/SUMIFS('Annual assets'!$C$8:$C$26,'Annual assets'!$A$8:$A$26,$A17),"")</x:f>
        <x:v>57.75081840939727</x:v>
      </x:c>
      <x:c r="I17" s="36" t="n">
        <x:f>IF(INDEX('Annual funding'!$K$8:$K$26,MATCH($A17,'Annual funding'!$A$8:$A$26,0)),100*SUMIFS('Annual funding'!$I$8:$I$26,'Annual funding'!$A$8:$A$26,$A17)/SUMIFS('Annual assets'!$C$8:$C$26,'Annual assets'!$A$8:$A$26,$A17),"")</x:f>
        <x:v>27.049232941780602</x:v>
      </x:c>
      <x:c r="J17" s="36" t="n">
        <x:f>IF(INDEX('Annual funding'!$K$8:$K$26,MATCH($A17,'Annual funding'!$A$8:$A$26,0)),100*SUMIFS('Annual assets'!$H$8:$H$26,'Annual assets'!$A$8:$A$26,$A17)/SUMIFS('Annual funding'!$H$8:$H$26,'Annual funding'!$A$8:$A$26,$A17),"")</x:f>
        <x:v>127.51472713126597</x:v>
      </x:c>
      <x:c r="K17" s="36" t="n">
        <x:f>IF(INDEX('Annual income'!$K$8:$K$26,MATCH($A17,'Annual income'!$A$8:$A$26,0)),100*SUMIFS('Annual income'!$D$8:$D$26,'Annual income'!$A$8:$A$26,$A17)/SUMIFS('Annual assets'!$C$8:$C$26,'Annual assets'!$A$8:$A$26,$A17),"")</x:f>
        <x:v>1.6303998972976443</x:v>
      </x:c>
      <x:c r="L17" s="36" t="n">
        <x:f>IF(INDEX('Annual income'!$K$8:$K$26,MATCH($A17,'Annual income'!$A$8:$A$26,0)),100*SUMIFS('Annual income'!$E$8:$E$26,'Annual income'!$A$8:$A$26,$A17)/SUMIFS('Annual assets'!$C$8:$C$26,'Annual assets'!$A$8:$A$26,$A17),"")</x:f>
        <x:v>0.8954361640670133</x:v>
      </x:c>
      <x:c r="M17" s="36" t="n">
        <x:f>IF(INDEX('Annual income'!$K$8:$K$26,MATCH($A17,'Annual income'!$A$8:$A$26,0)),100*SUMIFS('Annual income'!$H$8:$H$26,'Annual income'!$A$8:$A$26,$A17)/SUMIFS('Annual assets'!$C$8:$C$26,'Annual assets'!$A$8:$A$26,$A17),"")</x:f>
        <x:v>0.6964503498298992</x:v>
      </x:c>
      <x:c r="N17" s="2"/>
    </x:row>
    <x:row r="18" ht="22" customHeight="1">
      <x:c r="A18" s="19" t="n">
        <x:v>1929</x:v>
      </x:c>
      <x:c r="B18" s="35" t="n">
        <x:f>100*SUMIFS('Annual funding'!$E$8:$E$26,'Annual funding'!$A$8:$A$26,$A18)/SUMIFS('Annual assets'!$C$8:$C$26,'Annual assets'!$A$8:$A$26,$A18)</x:f>
        <x:v>10.295102887222843</x:v>
      </x:c>
      <x:c r="C18" s="35" t="n">
        <x:f>100*SUMIFS('Annual assets'!$H$8:$H$26,'Annual assets'!$A$8:$A$26,$A18)/SUMIFS('Annual assets'!$C$8:$C$26,'Annual assets'!$A$8:$A$26,$A18)</x:f>
        <x:v>74.56053597064923</x:v>
      </x:c>
      <x:c r="D18" s="35" t="n">
        <x:f>100*SUMIFS('Annual assets'!$I$8:$I$26,'Annual assets'!$A$8:$A$26,$A18)/SUMIFS('Annual assets'!$C$8:$C$26,'Annual assets'!$A$8:$A$26,$A18)</x:f>
        <x:v>75.42829797415855</x:v>
      </x:c>
      <x:c r="E18" s="35" t="n">
        <x:f>100*SUMIFS('Annual assets'!$D$8:$D$26,'Annual assets'!$A$8:$A$26,$A18)/SUMIFS('Annual assets'!$C$8:$C$26,'Annual assets'!$A$8:$A$26,$A18)</x:f>
        <x:v>9.74318073057904</x:v>
      </x:c>
      <x:c r="F18" s="35" t="n">
        <x:f>100*SUMIFS('Annual assets'!$J$8:$J$26,'Annual assets'!$A$8:$A$26,$A18)/SUMIFS('Annual assets'!$C$8:$C$26,'Annual assets'!$A$8:$A$26,$A18)</x:f>
        <x:v>8.693571542510767</x:v>
      </x:c>
      <x:c r="G18" s="35" t="n">
        <x:f>100*SUMIFS('Annual assets'!$K$8:$K$26,'Annual assets'!$A$8:$A$26,$A18)/SUMIFS('Annual assets'!$C$8:$C$26,'Annual assets'!$A$8:$A$26,$A18)</x:f>
        <x:v>3.3625777635986602</x:v>
      </x:c>
      <x:c r="H18" s="35" t="n">
        <x:f>IF(INDEX('Annual funding'!$K$8:$K$26,MATCH($A18,'Annual funding'!$A$8:$A$26,0)),100*SUMIFS('Annual funding'!$H$8:$H$26,'Annual funding'!$A$8:$A$26,$A18)/SUMIFS('Annual assets'!$C$8:$C$26,'Annual assets'!$A$8:$A$26,$A18),"")</x:f>
        <x:v>59.43531663742224</x:v>
      </x:c>
      <x:c r="I18" s="35" t="n">
        <x:f>IF(INDEX('Annual funding'!$K$8:$K$26,MATCH($A18,'Annual funding'!$A$8:$A$26,0)),100*SUMIFS('Annual funding'!$I$8:$I$26,'Annual funding'!$A$8:$A$26,$A18)/SUMIFS('Annual assets'!$C$8:$C$26,'Annual assets'!$A$8:$A$26,$A18),"")</x:f>
        <x:v>24.842877651938107</x:v>
      </x:c>
      <x:c r="J18" s="35" t="n">
        <x:f>IF(INDEX('Annual funding'!$K$8:$K$26,MATCH($A18,'Annual funding'!$A$8:$A$26,0)),100*SUMIFS('Annual assets'!$H$8:$H$26,'Annual assets'!$A$8:$A$26,$A18)/SUMIFS('Annual funding'!$H$8:$H$26,'Annual funding'!$A$8:$A$26,$A18),"")</x:f>
        <x:v>125.44820182501341</x:v>
      </x:c>
      <x:c r="K18" s="35" t="n">
        <x:f>IF(INDEX('Annual income'!$K$8:$K$26,MATCH($A18,'Annual income'!$A$8:$A$26,0)),100*SUMIFS('Annual income'!$D$8:$D$26,'Annual income'!$A$8:$A$26,$A18)/SUMIFS('Annual assets'!$C$8:$C$26,'Annual assets'!$A$8:$A$26,$A18),"")</x:f>
        <x:v>1.6270537565799967</x:v>
      </x:c>
      <x:c r="L18" s="35" t="n">
        <x:f>IF(INDEX('Annual income'!$K$8:$K$26,MATCH($A18,'Annual income'!$A$8:$A$26,0)),100*SUMIFS('Annual income'!$E$8:$E$26,'Annual income'!$A$8:$A$26,$A18)/SUMIFS('Annual assets'!$C$8:$C$26,'Annual assets'!$A$8:$A$26,$A18),"")</x:f>
        <x:v>0.9156165257616845</x:v>
      </x:c>
      <x:c r="M18" s="35" t="n">
        <x:f>IF(INDEX('Annual income'!$K$8:$K$26,MATCH($A18,'Annual income'!$A$8:$A$26,0)),100*SUMIFS('Annual income'!$H$8:$H$26,'Annual income'!$A$8:$A$26,$A18)/SUMIFS('Annual assets'!$C$8:$C$26,'Annual assets'!$A$8:$A$26,$A18),"")</x:f>
        <x:v>0.6954857234008613</x:v>
      </x:c>
      <x:c r="N18" s="2"/>
    </x:row>
    <x:row r="19" ht="22" customHeight="1">
      <x:c r="A19" s="22" t="n">
        <x:v>1930</x:v>
      </x:c>
      <x:c r="B19" s="36" t="n">
        <x:f>100*SUMIFS('Annual funding'!$E$8:$E$26,'Annual funding'!$A$8:$A$26,$A19)/SUMIFS('Annual assets'!$C$8:$C$26,'Annual assets'!$A$8:$A$26,$A19)</x:f>
        <x:v>10.274787180771156</x:v>
      </x:c>
      <x:c r="C19" s="36" t="n">
        <x:f>100*SUMIFS('Annual assets'!$H$8:$H$26,'Annual assets'!$A$8:$A$26,$A19)/SUMIFS('Annual assets'!$C$8:$C$26,'Annual assets'!$A$8:$A$26,$A19)</x:f>
        <x:v>73.128442663996</x:v>
      </x:c>
      <x:c r="D19" s="36" t="n">
        <x:f>100*SUMIFS('Annual assets'!$I$8:$I$26,'Annual assets'!$A$8:$A$26,$A19)/SUMIFS('Annual assets'!$C$8:$C$26,'Annual assets'!$A$8:$A$26,$A19)</x:f>
        <x:v>74.28017025538307</x:v>
      </x:c>
      <x:c r="E19" s="36" t="n">
        <x:f>100*SUMIFS('Annual assets'!$D$8:$D$26,'Annual assets'!$A$8:$A$26,$A19)/SUMIFS('Annual assets'!$C$8:$C$26,'Annual assets'!$A$8:$A$26,$A19)</x:f>
        <x:v>9.88670505758638</x:v>
      </x:c>
      <x:c r="F19" s="36" t="n">
        <x:f>100*SUMIFS('Annual assets'!$J$8:$J$26,'Annual assets'!$A$8:$A$26,$A19)/SUMIFS('Annual assets'!$C$8:$C$26,'Annual assets'!$A$8:$A$26,$A19)</x:f>
        <x:v>9.526790185277918</x:v>
      </x:c>
      <x:c r="G19" s="36" t="n">
        <x:f>100*SUMIFS('Annual assets'!$K$8:$K$26,'Annual assets'!$A$8:$A$26,$A19)/SUMIFS('Annual assets'!$C$8:$C$26,'Annual assets'!$A$8:$A$26,$A19)</x:f>
        <x:v>3.442663995993991</x:v>
      </x:c>
      <x:c r="H19" s="36" t="n">
        <x:f>IF(INDEX('Annual funding'!$K$8:$K$26,MATCH($A19,'Annual funding'!$A$8:$A$26,0)),100*SUMIFS('Annual funding'!$H$8:$H$26,'Annual funding'!$A$8:$A$26,$A19)/SUMIFS('Annual assets'!$C$8:$C$26,'Annual assets'!$A$8:$A$26,$A19),"")</x:f>
        <x:v>62.19016024036054</x:v>
      </x:c>
      <x:c r="I19" s="36" t="n">
        <x:f>IF(INDEX('Annual funding'!$K$8:$K$26,MATCH($A19,'Annual funding'!$A$8:$A$26,0)),100*SUMIFS('Annual funding'!$I$8:$I$26,'Annual funding'!$A$8:$A$26,$A19)/SUMIFS('Annual assets'!$C$8:$C$26,'Annual assets'!$A$8:$A$26,$A19),"")</x:f>
        <x:v>22.026790185277918</x:v>
      </x:c>
      <x:c r="J19" s="36" t="n">
        <x:f>IF(INDEX('Annual funding'!$K$8:$K$26,MATCH($A19,'Annual funding'!$A$8:$A$26,0)),100*SUMIFS('Annual assets'!$H$8:$H$26,'Annual assets'!$A$8:$A$26,$A19)/SUMIFS('Annual funding'!$H$8:$H$26,'Annual funding'!$A$8:$A$26,$A19),"")</x:f>
        <x:v>117.5884454733028</x:v>
      </x:c>
      <x:c r="K19" s="36" t="n">
        <x:f>IF(INDEX('Annual income'!$K$8:$K$26,MATCH($A19,'Annual income'!$A$8:$A$26,0)),100*SUMIFS('Annual income'!$D$8:$D$26,'Annual income'!$A$8:$A$26,$A19)/SUMIFS('Annual assets'!$C$8:$C$26,'Annual assets'!$A$8:$A$26,$A19),"")</x:f>
        <x:v>1.5147721582373561</x:v>
      </x:c>
      <x:c r="L19" s="36" t="n">
        <x:f>IF(INDEX('Annual income'!$K$8:$K$26,MATCH($A19,'Annual income'!$A$8:$A$26,0)),100*SUMIFS('Annual income'!$E$8:$E$26,'Annual income'!$A$8:$A$26,$A19)/SUMIFS('Annual assets'!$C$8:$C$26,'Annual assets'!$A$8:$A$26,$A19),"")</x:f>
        <x:v>0.8450175262894342</x:v>
      </x:c>
      <x:c r="M19" s="36" t="n">
        <x:f>IF(INDEX('Annual income'!$K$8:$K$26,MATCH($A19,'Annual income'!$A$8:$A$26,0)),100*SUMIFS('Annual income'!$H$8:$H$26,'Annual income'!$A$8:$A$26,$A19)/SUMIFS('Annual assets'!$C$8:$C$26,'Annual assets'!$A$8:$A$26,$A19),"")</x:f>
        <x:v>0.5257886830245369</x:v>
      </x:c>
      <x:c r="N19" s="2"/>
    </x:row>
    <x:row r="20" ht="22" customHeight="1">
      <x:c r="A20" s="19" t="n">
        <x:v>1931</x:v>
      </x:c>
      <x:c r="B20" s="35" t="n">
        <x:f>100*SUMIFS('Annual funding'!$E$8:$E$26,'Annual funding'!$A$8:$A$26,$A20)/SUMIFS('Annual assets'!$C$8:$C$26,'Annual assets'!$A$8:$A$26,$A20)</x:f>
        <x:v>9.437602018103576</x:v>
      </x:c>
      <x:c r="C20" s="35" t="n">
        <x:f>100*SUMIFS('Annual assets'!$H$8:$H$26,'Annual assets'!$A$8:$A$26,$A20)/SUMIFS('Annual assets'!$C$8:$C$26,'Annual assets'!$A$8:$A$26,$A20)</x:f>
        <x:v>71.96542513726072</x:v>
      </x:c>
      <x:c r="D20" s="35" t="n">
        <x:f>100*SUMIFS('Annual assets'!$I$8:$I$26,'Annual assets'!$A$8:$A$26,$A20)/SUMIFS('Annual assets'!$C$8:$C$26,'Annual assets'!$A$8:$A$26,$A20)</x:f>
        <x:v>73.76465350942276</x:v>
      </x:c>
      <x:c r="E20" s="35" t="n">
        <x:f>100*SUMIFS('Annual assets'!$D$8:$D$26,'Annual assets'!$A$8:$A$26,$A20)/SUMIFS('Annual assets'!$C$8:$C$26,'Annual assets'!$A$8:$A$26,$A20)</x:f>
        <x:v>7.170945244101499</x:v>
      </x:c>
      <x:c r="F20" s="35" t="n">
        <x:f>100*SUMIFS('Annual assets'!$J$8:$J$26,'Annual assets'!$A$8:$A$26,$A20)/SUMIFS('Annual assets'!$C$8:$C$26,'Annual assets'!$A$8:$A$26,$A20)</x:f>
        <x:v>12.683632586437156</x:v>
      </x:c>
      <x:c r="G20" s="35" t="n">
        <x:f>100*SUMIFS('Annual assets'!$K$8:$K$26,'Annual assets'!$A$8:$A$26,$A20)/SUMIFS('Annual assets'!$C$8:$C$26,'Annual assets'!$A$8:$A$26,$A20)</x:f>
        <x:v>3.045704110402137</x:v>
      </x:c>
      <x:c r="H20" s="35" t="n">
        <x:f>IF(INDEX('Annual funding'!$K$8:$K$26,MATCH($A20,'Annual funding'!$A$8:$A$26,0)),100*SUMIFS('Annual funding'!$H$8:$H$26,'Annual funding'!$A$8:$A$26,$A20)/SUMIFS('Annual assets'!$C$8:$C$26,'Annual assets'!$A$8:$A$26,$A20),"")</x:f>
        <x:v>64.4828609585992</x:v>
      </x:c>
      <x:c r="I20" s="35" t="n">
        <x:f>IF(INDEX('Annual funding'!$K$8:$K$26,MATCH($A20,'Annual funding'!$A$8:$A$26,0)),100*SUMIFS('Annual funding'!$I$8:$I$26,'Annual funding'!$A$8:$A$26,$A20)/SUMIFS('Annual assets'!$C$8:$C$26,'Annual assets'!$A$8:$A$26,$A20),"")</x:f>
        <x:v>20.559430182519662</x:v>
      </x:c>
      <x:c r="J20" s="35" t="n">
        <x:f>IF(INDEX('Annual funding'!$K$8:$K$26,MATCH($A20,'Annual funding'!$A$8:$A$26,0)),100*SUMIFS('Annual assets'!$H$8:$H$26,'Annual assets'!$A$8:$A$26,$A20)/SUMIFS('Annual funding'!$H$8:$H$26,'Annual funding'!$A$8:$A$26,$A20),"")</x:f>
        <x:v>111.60395811759291</x:v>
      </x:c>
      <x:c r="K20" s="35" t="n">
        <x:f>IF(INDEX('Annual income'!$K$8:$K$26,MATCH($A20,'Annual income'!$A$8:$A$26,0)),100*SUMIFS('Annual income'!$D$8:$D$26,'Annual income'!$A$8:$A$26,$A20)/SUMIFS('Annual assets'!$C$8:$C$26,'Annual assets'!$A$8:$A$26,$A20),"")</x:f>
        <x:v>1.6730968986496513</x:v>
      </x:c>
      <x:c r="L20" s="35" t="n">
        <x:f>IF(INDEX('Annual income'!$K$8:$K$26,MATCH($A20,'Annual income'!$A$8:$A$26,0)),100*SUMIFS('Annual income'!$E$8:$E$26,'Annual income'!$A$8:$A$26,$A20)/SUMIFS('Annual assets'!$C$8:$C$26,'Annual assets'!$A$8:$A$26,$A20),"")</x:f>
        <x:v>0.8755008161448287</x:v>
      </x:c>
      <x:c r="M20" s="35" t="n">
        <x:f>IF(INDEX('Annual income'!$K$8:$K$26,MATCH($A20,'Annual income'!$A$8:$A$26,0)),100*SUMIFS('Annual income'!$H$8:$H$26,'Annual income'!$A$8:$A$26,$A20)/SUMIFS('Annual assets'!$C$8:$C$26,'Annual assets'!$A$8:$A$26,$A20),"")</x:f>
        <x:v>-2.2518177771182666</x:v>
      </x:c>
      <x:c r="N20" s="2"/>
    </x:row>
    <x:row r="21" ht="22" customHeight="1">
      <x:c r="A21" s="22" t="n">
        <x:v>1932</x:v>
      </x:c>
      <x:c r="B21" s="36" t="n">
        <x:f>100*SUMIFS('Annual funding'!$E$8:$E$26,'Annual funding'!$A$8:$A$26,$A21)/SUMIFS('Annual assets'!$C$8:$C$26,'Annual assets'!$A$8:$A$26,$A21)</x:f>
        <x:v>9.221173297370196</x:v>
      </x:c>
      <x:c r="C21" s="36" t="n">
        <x:f>100*SUMIFS('Annual assets'!$H$8:$H$26,'Annual assets'!$A$8:$A$26,$A21)/SUMIFS('Annual assets'!$C$8:$C$26,'Annual assets'!$A$8:$A$26,$A21)</x:f>
        <x:v>69.77410654079569</x:v>
      </x:c>
      <x:c r="D21" s="36" t="n">
        <x:f>100*SUMIFS('Annual assets'!$I$8:$I$26,'Annual assets'!$A$8:$A$26,$A21)/SUMIFS('Annual assets'!$C$8:$C$26,'Annual assets'!$A$8:$A$26,$A21)</x:f>
        <x:v>70.50320296695887</x:v>
      </x:c>
      <x:c r="E21" s="36" t="n">
        <x:f>100*SUMIFS('Annual assets'!$D$8:$D$26,'Annual assets'!$A$8:$A$26,$A21)/SUMIFS('Annual assets'!$C$8:$C$26,'Annual assets'!$A$8:$A$26,$A21)</x:f>
        <x:v>11.366318273769386</x:v>
      </x:c>
      <x:c r="F21" s="36" t="n">
        <x:f>100*SUMIFS('Annual assets'!$J$8:$J$26,'Annual assets'!$A$8:$A$26,$A21)/SUMIFS('Annual assets'!$C$8:$C$26,'Annual assets'!$A$8:$A$26,$A21)</x:f>
        <x:v>11.088165879973028</x:v>
      </x:c>
      <x:c r="G21" s="36" t="n">
        <x:f>100*SUMIFS('Annual assets'!$K$8:$K$26,'Annual assets'!$A$8:$A$26,$A21)/SUMIFS('Annual assets'!$C$8:$C$26,'Annual assets'!$A$8:$A$26,$A21)</x:f>
        <x:v>3.3757585974376263</x:v>
      </x:c>
      <x:c r="H21" s="36" t="n">
        <x:f>IF(INDEX('Annual funding'!$K$8:$K$26,MATCH($A21,'Annual funding'!$A$8:$A$26,0)),100*SUMIFS('Annual funding'!$H$8:$H$26,'Annual funding'!$A$8:$A$26,$A21)/SUMIFS('Annual assets'!$C$8:$C$26,'Annual assets'!$A$8:$A$26,$A21),"")</x:f>
        <x:v>68.85114632501686</x:v>
      </x:c>
      <x:c r="I21" s="36" t="n">
        <x:f>IF(INDEX('Annual funding'!$K$8:$K$26,MATCH($A21,'Annual funding'!$A$8:$A$26,0)),100*SUMIFS('Annual funding'!$I$8:$I$26,'Annual funding'!$A$8:$A$26,$A21)/SUMIFS('Annual assets'!$C$8:$C$26,'Annual assets'!$A$8:$A$26,$A21),"")</x:f>
        <x:v>17.506743088334456</x:v>
      </x:c>
      <x:c r="J21" s="36" t="n">
        <x:f>IF(INDEX('Annual funding'!$K$8:$K$26,MATCH($A21,'Annual funding'!$A$8:$A$26,0)),100*SUMIFS('Annual assets'!$H$8:$H$26,'Annual assets'!$A$8:$A$26,$A21)/SUMIFS('Annual funding'!$H$8:$H$26,'Annual funding'!$A$8:$A$26,$A21),"")</x:f>
        <x:v>101.34051539450327</x:v>
      </x:c>
      <x:c r="K21" s="36" t="n">
        <x:f>IF(INDEX('Annual income'!$K$8:$K$26,MATCH($A21,'Annual income'!$A$8:$A$26,0)),100*SUMIFS('Annual income'!$D$8:$D$26,'Annual income'!$A$8:$A$26,$A21)/SUMIFS('Annual assets'!$C$8:$C$26,'Annual assets'!$A$8:$A$26,$A21),"")</x:f>
        <x:v>1.3444032366824006</x:v>
      </x:c>
      <x:c r="L21" s="36" t="n">
        <x:f>IF(INDEX('Annual income'!$K$8:$K$26,MATCH($A21,'Annual income'!$A$8:$A$26,0)),100*SUMIFS('Annual income'!$E$8:$E$26,'Annual income'!$A$8:$A$26,$A21)/SUMIFS('Annual assets'!$C$8:$C$26,'Annual assets'!$A$8:$A$26,$A21),"")</x:f>
        <x:v>0.7754551584625758</x:v>
      </x:c>
      <x:c r="M21" s="36" t="n">
        <x:f>IF(INDEX('Annual income'!$K$8:$K$26,MATCH($A21,'Annual income'!$A$8:$A$26,0)),100*SUMIFS('Annual income'!$H$8:$H$26,'Annual income'!$A$8:$A$26,$A21)/SUMIFS('Annual assets'!$C$8:$C$26,'Annual assets'!$A$8:$A$26,$A21),"")</x:f>
        <x:v>0.177006068779501</x:v>
      </x:c>
      <x:c r="N21" s="2"/>
    </x:row>
    <x:row r="22" ht="22" customHeight="1">
      <x:c r="A22" s="19" t="n">
        <x:v>1933</x:v>
      </x:c>
      <x:c r="B22" s="35" t="n">
        <x:f>100*SUMIFS('Annual funding'!$E$8:$E$26,'Annual funding'!$A$8:$A$26,$A22)/SUMIFS('Annual assets'!$C$8:$C$26,'Annual assets'!$A$8:$A$26,$A22)</x:f>
        <x:v>9.697398690497257</x:v>
      </x:c>
      <x:c r="C22" s="35" t="n">
        <x:f>100*SUMIFS('Annual assets'!$H$8:$H$26,'Annual assets'!$A$8:$A$26,$A22)/SUMIFS('Annual assets'!$C$8:$C$26,'Annual assets'!$A$8:$A$26,$A22)</x:f>
        <x:v>68.82410192886215</x:v>
      </x:c>
      <x:c r="D22" s="35" t="n">
        <x:f>100*SUMIFS('Annual assets'!$I$8:$I$26,'Annual assets'!$A$8:$A$26,$A22)/SUMIFS('Annual assets'!$C$8:$C$26,'Annual assets'!$A$8:$A$26,$A22)</x:f>
        <x:v>69.56733321536011</x:v>
      </x:c>
      <x:c r="E22" s="35" t="n">
        <x:f>100*SUMIFS('Annual assets'!$D$8:$D$26,'Annual assets'!$A$8:$A$26,$A22)/SUMIFS('Annual assets'!$C$8:$C$26,'Annual assets'!$A$8:$A$26,$A22)</x:f>
        <x:v>10.900725535303486</x:v>
      </x:c>
      <x:c r="F22" s="35" t="n">
        <x:f>100*SUMIFS('Annual assets'!$J$8:$J$26,'Annual assets'!$A$8:$A$26,$A22)/SUMIFS('Annual assets'!$C$8:$C$26,'Annual assets'!$A$8:$A$26,$A22)</x:f>
        <x:v>12.143868341886392</x:v>
      </x:c>
      <x:c r="G22" s="35" t="n">
        <x:f>100*SUMIFS('Annual assets'!$K$8:$K$26,'Annual assets'!$A$8:$A$26,$A22)/SUMIFS('Annual assets'!$C$8:$C$26,'Annual assets'!$A$8:$A$26,$A22)</x:f>
        <x:v>3.508228632100513</x:v>
      </x:c>
      <x:c r="H22" s="35" t="n">
        <x:f>IF(INDEX('Annual funding'!$K$8:$K$26,MATCH($A22,'Annual funding'!$A$8:$A$26,0)),100*SUMIFS('Annual funding'!$H$8:$H$26,'Annual funding'!$A$8:$A$26,$A22)/SUMIFS('Annual assets'!$C$8:$C$26,'Annual assets'!$A$8:$A$26,$A22),"")</x:f>
        <x:v>70.12033268448063</x:v>
      </x:c>
      <x:c r="I22" s="35" t="n">
        <x:f>IF(INDEX('Annual funding'!$K$8:$K$26,MATCH($A22,'Annual funding'!$A$8:$A$26,0)),100*SUMIFS('Annual funding'!$I$8:$I$26,'Annual funding'!$A$8:$A$26,$A22)/SUMIFS('Annual assets'!$C$8:$C$26,'Annual assets'!$A$8:$A$26,$A22),"")</x:f>
        <x:v>15.696336931516546</x:v>
      </x:c>
      <x:c r="J22" s="35" t="n">
        <x:f>IF(INDEX('Annual funding'!$K$8:$K$26,MATCH($A22,'Annual funding'!$A$8:$A$26,0)),100*SUMIFS('Annual assets'!$H$8:$H$26,'Annual assets'!$A$8:$A$26,$A22)/SUMIFS('Annual funding'!$H$8:$H$26,'Annual funding'!$A$8:$A$26,$A22),"")</x:f>
        <x:v>98.15141955835962</x:v>
      </x:c>
      <x:c r="K22" s="35" t="n">
        <x:f>IF(INDEX('Annual income'!$K$8:$K$26,MATCH($A22,'Annual income'!$A$8:$A$26,0)),100*SUMIFS('Annual income'!$D$8:$D$26,'Annual income'!$A$8:$A$26,$A22)/SUMIFS('Annual assets'!$C$8:$C$26,'Annual assets'!$A$8:$A$26,$A22),"")</x:f>
        <x:v>1.260838789594762</x:v>
      </x:c>
      <x:c r="L22" s="35" t="n">
        <x:f>IF(INDEX('Annual income'!$K$8:$K$26,MATCH($A22,'Annual income'!$A$8:$A$26,0)),100*SUMIFS('Annual income'!$E$8:$E$26,'Annual income'!$A$8:$A$26,$A22)/SUMIFS('Annual assets'!$C$8:$C$26,'Annual assets'!$A$8:$A$26,$A22),"")</x:f>
        <x:v>0.743231286497965</x:v>
      </x:c>
      <x:c r="M22" s="35" t="n">
        <x:f>IF(INDEX('Annual income'!$K$8:$K$26,MATCH($A22,'Annual income'!$A$8:$A$26,0)),100*SUMIFS('Annual income'!$H$8:$H$26,'Annual income'!$A$8:$A$26,$A22)/SUMIFS('Annual assets'!$C$8:$C$26,'Annual assets'!$A$8:$A$26,$A22),"")</x:f>
        <x:v>0.15041585560077864</x:v>
      </x:c>
      <x:c r="N22" s="2"/>
    </x:row>
    <x:row r="23" ht="22" customHeight="1">
      <x:c r="A23" s="22" t="n">
        <x:v>1934</x:v>
      </x:c>
      <x:c r="B23" s="36" t="n">
        <x:f>100*SUMIFS('Annual funding'!$E$8:$E$26,'Annual funding'!$A$8:$A$26,$A23)/SUMIFS('Annual assets'!$C$8:$C$26,'Annual assets'!$A$8:$A$26,$A23)</x:f>
        <x:v>9.351610461693719</x:v>
      </x:c>
      <x:c r="C23" s="36" t="n">
        <x:f>100*SUMIFS('Annual assets'!$H$8:$H$26,'Annual assets'!$A$8:$A$26,$A23)/SUMIFS('Annual assets'!$C$8:$C$26,'Annual assets'!$A$8:$A$26,$A23)</x:f>
        <x:v>66.7227314775881</x:v>
      </x:c>
      <x:c r="D23" s="36" t="n">
        <x:f>100*SUMIFS('Annual assets'!$I$8:$I$26,'Annual assets'!$A$8:$A$26,$A23)/SUMIFS('Annual assets'!$C$8:$C$26,'Annual assets'!$A$8:$A$26,$A23)</x:f>
        <x:v>68.93028340761921</x:v>
      </x:c>
      <x:c r="E23" s="36" t="n">
        <x:f>100*SUMIFS('Annual assets'!$D$8:$D$26,'Annual assets'!$A$8:$A$26,$A23)/SUMIFS('Annual assets'!$C$8:$C$26,'Annual assets'!$A$8:$A$26,$A23)</x:f>
        <x:v>11.264822134387352</x:v>
      </x:c>
      <x:c r="F23" s="36" t="n">
        <x:f>100*SUMIFS('Annual assets'!$J$8:$J$26,'Annual assets'!$A$8:$A$26,$A23)/SUMIFS('Annual assets'!$C$8:$C$26,'Annual assets'!$A$8:$A$26,$A23)</x:f>
        <x:v>12.004877638550164</x:v>
      </x:c>
      <x:c r="G23" s="36" t="n">
        <x:f>100*SUMIFS('Annual assets'!$K$8:$K$26,'Annual assets'!$A$8:$A$26,$A23)/SUMIFS('Annual assets'!$C$8:$C$26,'Annual assets'!$A$8:$A$26,$A23)</x:f>
        <x:v>3.326044907913548</x:v>
      </x:c>
      <x:c r="H23" s="36" t="n">
        <x:f>IF(INDEX('Annual funding'!$K$8:$K$26,MATCH($A23,'Annual funding'!$A$8:$A$26,0)),100*SUMIFS('Annual funding'!$H$8:$H$26,'Annual funding'!$A$8:$A$26,$A23)/SUMIFS('Annual assets'!$C$8:$C$26,'Annual assets'!$A$8:$A$26,$A23),"")</x:f>
        <x:v>67.42494323437894</x:v>
      </x:c>
      <x:c r="I23" s="36" t="n">
        <x:f>IF(INDEX('Annual funding'!$K$8:$K$26,MATCH($A23,'Annual funding'!$A$8:$A$26,0)),100*SUMIFS('Annual funding'!$I$8:$I$26,'Annual funding'!$A$8:$A$26,$A23)/SUMIFS('Annual assets'!$C$8:$C$26,'Annual assets'!$A$8:$A$26,$A23),"")</x:f>
        <x:v>17.47960642502733</x:v>
      </x:c>
      <x:c r="J23" s="36" t="n">
        <x:f>IF(INDEX('Annual funding'!$K$8:$K$26,MATCH($A23,'Annual funding'!$A$8:$A$26,0)),100*SUMIFS('Annual assets'!$H$8:$H$26,'Annual assets'!$A$8:$A$26,$A23)/SUMIFS('Annual funding'!$H$8:$H$26,'Annual funding'!$A$8:$A$26,$A23),"")</x:f>
        <x:v>98.9585282195198</x:v>
      </x:c>
      <x:c r="K23" s="36" t="n">
        <x:f>IF(INDEX('Annual income'!$K$8:$K$26,MATCH($A23,'Annual income'!$A$8:$A$26,0)),100*SUMIFS('Annual income'!$D$8:$D$26,'Annual income'!$A$8:$A$26,$A23)/SUMIFS('Annual assets'!$C$8:$C$26,'Annual assets'!$A$8:$A$26,$A23),"")</x:f>
        <x:v>1.1058783954251115</x:v>
      </x:c>
      <x:c r="L23" s="36" t="n">
        <x:f>IF(INDEX('Annual income'!$K$8:$K$26,MATCH($A23,'Annual income'!$A$8:$A$26,0)),100*SUMIFS('Annual income'!$E$8:$E$26,'Annual income'!$A$8:$A$26,$A23)/SUMIFS('Annual assets'!$C$8:$C$26,'Annual assets'!$A$8:$A$26,$A23),"")</x:f>
        <x:v>0.6517534269615676</x:v>
      </x:c>
      <x:c r="M23" s="36" t="n">
        <x:f>IF(INDEX('Annual income'!$K$8:$K$26,MATCH($A23,'Annual income'!$A$8:$A$26,0)),100*SUMIFS('Annual income'!$H$8:$H$26,'Annual income'!$A$8:$A$26,$A23)/SUMIFS('Annual assets'!$C$8:$C$26,'Annual assets'!$A$8:$A$26,$A23),"")</x:f>
        <x:v>-0.01681944327642755</x:v>
      </x:c>
      <x:c r="N23" s="2"/>
    </x:row>
    <x:row r="24" ht="22" customHeight="1">
      <x:c r="A24" s="19" t="n">
        <x:v>1935</x:v>
      </x:c>
      <x:c r="B24" s="35" t="n">
        <x:f>100*SUMIFS('Annual funding'!$E$8:$E$26,'Annual funding'!$A$8:$A$26,$A24)/SUMIFS('Annual assets'!$C$8:$C$26,'Annual assets'!$A$8:$A$26,$A24)</x:f>
        <x:v>8.606808614982222</x:v>
      </x:c>
      <x:c r="C24" s="35" t="n">
        <x:f>100*SUMIFS('Annual assets'!$H$8:$H$26,'Annual assets'!$A$8:$A$26,$A24)/SUMIFS('Annual assets'!$C$8:$C$26,'Annual assets'!$A$8:$A$26,$A24)</x:f>
        <x:v>64.58784584576402</x:v>
      </x:c>
      <x:c r="D24" s="35" t="n">
        <x:f>100*SUMIFS('Annual assets'!$I$8:$I$26,'Annual assets'!$A$8:$A$26,$A24)/SUMIFS('Annual assets'!$C$8:$C$26,'Annual assets'!$A$8:$A$26,$A24)</x:f>
        <x:v>66.70072336425682</x:v>
      </x:c>
      <x:c r="E24" s="35" t="n">
        <x:f>100*SUMIFS('Annual assets'!$D$8:$D$26,'Annual assets'!$A$8:$A$26,$A24)/SUMIFS('Annual assets'!$C$8:$C$26,'Annual assets'!$A$8:$A$26,$A24)</x:f>
        <x:v>13.216723200784667</x:v>
      </x:c>
      <x:c r="F24" s="35" t="n">
        <x:f>100*SUMIFS('Annual assets'!$J$8:$J$26,'Annual assets'!$A$8:$A$26,$A24)/SUMIFS('Annual assets'!$C$8:$C$26,'Annual assets'!$A$8:$A$26,$A24)</x:f>
        <x:v>12.211369487923495</x:v>
      </x:c>
      <x:c r="G24" s="35" t="n">
        <x:f>100*SUMIFS('Annual assets'!$K$8:$K$26,'Annual assets'!$A$8:$A$26,$A24)/SUMIFS('Annual assets'!$C$8:$C$26,'Annual assets'!$A$8:$A$26,$A24)</x:f>
        <x:v>3.277616576075851</x:v>
      </x:c>
      <x:c r="H24" s="35" t="n">
        <x:f>IF(INDEX('Annual funding'!$K$8:$K$26,MATCH($A24,'Annual funding'!$A$8:$A$26,0)),100*SUMIFS('Annual funding'!$H$8:$H$26,'Annual funding'!$A$8:$A$26,$A24)/SUMIFS('Annual assets'!$C$8:$C$26,'Annual assets'!$A$8:$A$26,$A24),"")</x:f>
        <x:v>66.7456782050758</x:v>
      </x:c>
      <x:c r="I24" s="35" t="n">
        <x:f>IF(INDEX('Annual funding'!$K$8:$K$26,MATCH($A24,'Annual funding'!$A$8:$A$26,0)),100*SUMIFS('Annual funding'!$I$8:$I$26,'Annual funding'!$A$8:$A$26,$A24)/SUMIFS('Annual assets'!$C$8:$C$26,'Annual assets'!$A$8:$A$26,$A24),"")</x:f>
        <x:v>19.10989415178389</x:v>
      </x:c>
      <x:c r="J24" s="35" t="n">
        <x:f>IF(INDEX('Annual funding'!$K$8:$K$26,MATCH($A24,'Annual funding'!$A$8:$A$26,0)),100*SUMIFS('Annual assets'!$H$8:$H$26,'Annual assets'!$A$8:$A$26,$A24)/SUMIFS('Annual funding'!$H$8:$H$26,'Annual funding'!$A$8:$A$26,$A24),"")</x:f>
        <x:v>96.76708302718589</x:v>
      </x:c>
      <x:c r="K24" s="35" t="n">
        <x:f>IF(INDEX('Annual income'!$K$8:$K$26,MATCH($A24,'Annual income'!$A$8:$A$26,0)),100*SUMIFS('Annual income'!$D$8:$D$26,'Annual income'!$A$8:$A$26,$A24)/SUMIFS('Annual assets'!$C$8:$C$26,'Annual assets'!$A$8:$A$26,$A24),"")</x:f>
        <x:v>0.9808328905962647</x:v>
      </x:c>
      <x:c r="L24" s="35" t="n">
        <x:f>IF(INDEX('Annual income'!$K$8:$K$26,MATCH($A24,'Annual income'!$A$8:$A$26,0)),100*SUMIFS('Annual income'!$E$8:$E$26,'Annual income'!$A$8:$A$26,$A24)/SUMIFS('Annual assets'!$C$8:$C$26,'Annual assets'!$A$8:$A$26,$A24),"")</x:f>
        <x:v>0.6334545751767543</x:v>
      </x:c>
      <x:c r="M24" s="35" t="n">
        <x:f>IF(INDEX('Annual income'!$K$8:$K$26,MATCH($A24,'Annual income'!$A$8:$A$26,0)),100*SUMIFS('Annual income'!$H$8:$H$26,'Annual income'!$A$8:$A$26,$A24)/SUMIFS('Annual assets'!$C$8:$C$26,'Annual assets'!$A$8:$A$26,$A24),"")</x:f>
        <x:v>0.053128448240631</x:v>
      </x:c>
      <x:c r="N24" s="2"/>
    </x:row>
    <x:row r="25" ht="22" customHeight="1">
      <x:c r="A25" s="22" t="n">
        <x:v>1936</x:v>
      </x:c>
      <x:c r="B25" s="36" t="n">
        <x:f>100*SUMIFS('Annual funding'!$E$8:$E$26,'Annual funding'!$A$8:$A$26,$A25)/SUMIFS('Annual assets'!$C$8:$C$26,'Annual assets'!$A$8:$A$26,$A25)</x:f>
        <x:v>8.394668788541875</x:v>
      </x:c>
      <x:c r="C25" s="36" t="n">
        <x:f>100*SUMIFS('Annual assets'!$H$8:$H$26,'Annual assets'!$A$8:$A$26,$A25)/SUMIFS('Annual assets'!$C$8:$C$26,'Annual assets'!$A$8:$A$26,$A25)</x:f>
        <x:v>64.55142231947484</x:v>
      </x:c>
      <x:c r="D25" s="36" t="n">
        <x:f>100*SUMIFS('Annual assets'!$I$8:$I$26,'Annual assets'!$A$8:$A$26,$A25)/SUMIFS('Annual assets'!$C$8:$C$26,'Annual assets'!$A$8:$A$26,$A25)</x:f>
        <x:v>66.59637955042768</x:v>
      </x:c>
      <x:c r="E25" s="36" t="n">
        <x:f>100*SUMIFS('Annual assets'!$D$8:$D$26,'Annual assets'!$A$8:$A$26,$A25)/SUMIFS('Annual assets'!$C$8:$C$26,'Annual assets'!$A$8:$A$26,$A25)</x:f>
        <x:v>12.09468868112194</x:v>
      </x:c>
      <x:c r="F25" s="36" t="n">
        <x:f>100*SUMIFS('Annual assets'!$J$8:$J$26,'Annual assets'!$A$8:$A$26,$A25)/SUMIFS('Annual assets'!$C$8:$C$26,'Annual assets'!$A$8:$A$26,$A25)</x:f>
        <x:v>12.627809826934554</x:v>
      </x:c>
      <x:c r="G25" s="36" t="n">
        <x:f>100*SUMIFS('Annual assets'!$K$8:$K$26,'Annual assets'!$A$8:$A$26,$A25)/SUMIFS('Annual assets'!$C$8:$C$26,'Annual assets'!$A$8:$A$26,$A25)</x:f>
        <x:v>3.222597970956833</x:v>
      </x:c>
      <x:c r="H25" s="36" t="n">
        <x:f>IF(INDEX('Annual funding'!$K$8:$K$26,MATCH($A25,'Annual funding'!$A$8:$A$26,0)),100*SUMIFS('Annual funding'!$H$8:$H$26,'Annual funding'!$A$8:$A$26,$A25)/SUMIFS('Annual assets'!$C$8:$C$26,'Annual assets'!$A$8:$A$26,$A25),"")</x:f>
        <x:v>66.85498309130695</x:v>
      </x:c>
      <x:c r="I25" s="36" t="n">
        <x:f>IF(INDEX('Annual funding'!$K$8:$K$26,MATCH($A25,'Annual funding'!$A$8:$A$26,0)),100*SUMIFS('Annual funding'!$I$8:$I$26,'Annual funding'!$A$8:$A$26,$A25)/SUMIFS('Annual assets'!$C$8:$C$26,'Annual assets'!$A$8:$A$26,$A25),"")</x:f>
        <x:v>19.088919832902327</x:v>
      </x:c>
      <x:c r="J25" s="36" t="n">
        <x:f>IF(INDEX('Annual funding'!$K$8:$K$26,MATCH($A25,'Annual funding'!$A$8:$A$26,0)),100*SUMIFS('Annual assets'!$H$8:$H$26,'Annual assets'!$A$8:$A$26,$A25)/SUMIFS('Annual funding'!$H$8:$H$26,'Annual funding'!$A$8:$A$26,$A25),"")</x:f>
        <x:v>96.55439181147347</x:v>
      </x:c>
      <x:c r="K25" s="36" t="str">
        <x:f>IF(INDEX('Annual income'!$K$8:$K$26,MATCH($A25,'Annual income'!$A$8:$A$26,0)),100*SUMIFS('Annual income'!$D$8:$D$26,'Annual income'!$A$8:$A$26,$A25)/SUMIFS('Annual assets'!$C$8:$C$26,'Annual assets'!$A$8:$A$26,$A25),"")</x:f>
      </x:c>
      <x:c r="L25" s="36" t="str">
        <x:f>IF(INDEX('Annual income'!$K$8:$K$26,MATCH($A25,'Annual income'!$A$8:$A$26,0)),100*SUMIFS('Annual income'!$E$8:$E$26,'Annual income'!$A$8:$A$26,$A25)/SUMIFS('Annual assets'!$C$8:$C$26,'Annual assets'!$A$8:$A$26,$A25),"")</x:f>
      </x:c>
      <x:c r="M25" s="36" t="str">
        <x:f>IF(INDEX('Annual income'!$K$8:$K$26,MATCH($A25,'Annual income'!$A$8:$A$26,0)),100*SUMIFS('Annual income'!$H$8:$H$26,'Annual income'!$A$8:$A$26,$A25)/SUMIFS('Annual assets'!$C$8:$C$26,'Annual assets'!$A$8:$A$26,$A25),"")</x:f>
      </x:c>
      <x:c r="N25" s="2"/>
    </x:row>
    <x:row r="26" ht="22" customHeight="1">
      <x:c r="A26" s="19" t="n">
        <x:v>1937</x:v>
      </x:c>
      <x:c r="B26" s="35" t="n">
        <x:f>100*SUMIFS('Annual funding'!$E$8:$E$26,'Annual funding'!$A$8:$A$26,$A26)/SUMIFS('Annual assets'!$C$8:$C$26,'Annual assets'!$A$8:$A$26,$A26)</x:f>
        <x:v>7.92894445926886</x:v>
      </x:c>
      <x:c r="C26" s="35" t="n">
        <x:f>100*SUMIFS('Annual assets'!$H$8:$H$26,'Annual assets'!$A$8:$A$26,$A26)/SUMIFS('Annual assets'!$C$8:$C$26,'Annual assets'!$A$8:$A$26,$A26)</x:f>
        <x:v>63.000800518430985</x:v>
      </x:c>
      <x:c r="D26" s="35" t="n">
        <x:f>100*SUMIFS('Annual assets'!$I$8:$I$26,'Annual assets'!$A$8:$A$26,$A26)/SUMIFS('Annual assets'!$C$8:$C$26,'Annual assets'!$A$8:$A$26,$A26)</x:f>
        <x:v>64.96778866313421</x:v>
      </x:c>
      <x:c r="E26" s="35" t="n">
        <x:f>100*SUMIFS('Annual assets'!$D$8:$D$26,'Annual assets'!$A$8:$A$26,$A26)/SUMIFS('Annual assets'!$C$8:$C$26,'Annual assets'!$A$8:$A$26,$A26)</x:f>
        <x:v>13.12469027560706</x:v>
      </x:c>
      <x:c r="F26" s="35" t="n">
        <x:f>100*SUMIFS('Annual assets'!$J$8:$J$26,'Annual assets'!$A$8:$A$26,$A26)/SUMIFS('Annual assets'!$C$8:$C$26,'Annual assets'!$A$8:$A$26,$A26)</x:f>
        <x:v>13.67361719971029</x:v>
      </x:c>
      <x:c r="G26" s="35" t="n">
        <x:f>100*SUMIFS('Annual assets'!$K$8:$K$26,'Annual assets'!$A$8:$A$26,$A26)/SUMIFS('Annual assets'!$C$8:$C$26,'Annual assets'!$A$8:$A$26,$A26)</x:f>
        <x:v>3.1525178210650706</x:v>
      </x:c>
      <x:c r="H26" s="35" t="n">
        <x:f>IF(INDEX('Annual funding'!$K$8:$K$26,MATCH($A26,'Annual funding'!$A$8:$A$26,0)),100*SUMIFS('Annual funding'!$H$8:$H$26,'Annual funding'!$A$8:$A$26,$A26)/SUMIFS('Annual assets'!$C$8:$C$26,'Annual assets'!$A$8:$A$26,$A26),"")</x:f>
        <x:v>64.19014218732131</x:v>
      </x:c>
      <x:c r="I26" s="35" t="n">
        <x:f>IF(INDEX('Annual funding'!$K$8:$K$26,MATCH($A26,'Annual funding'!$A$8:$A$26,0)),100*SUMIFS('Annual funding'!$I$8:$I$26,'Annual funding'!$A$8:$A$26,$A26)/SUMIFS('Annual assets'!$C$8:$C$26,'Annual assets'!$A$8:$A$26,$A26),"")</x:f>
        <x:v>22.029504822170548</x:v>
      </x:c>
      <x:c r="J26" s="35" t="n">
        <x:f>IF(INDEX('Annual funding'!$K$8:$K$26,MATCH($A26,'Annual funding'!$A$8:$A$26,0)),100*SUMIFS('Annual assets'!$H$8:$H$26,'Annual assets'!$A$8:$A$26,$A26)/SUMIFS('Annual funding'!$H$8:$H$26,'Annual funding'!$A$8:$A$26,$A26),"")</x:f>
        <x:v>98.14715838232674</x:v>
      </x:c>
      <x:c r="K26" s="35" t="n">
        <x:f>IF(INDEX('Annual income'!$K$8:$K$26,MATCH($A26,'Annual income'!$A$8:$A$26,0)),100*SUMIFS('Annual income'!$D$8:$D$26,'Annual income'!$A$8:$A$26,$A26)/SUMIFS('Annual assets'!$C$8:$C$26,'Annual assets'!$A$8:$A$26,$A26),"")</x:f>
        <x:v>1.082605878092479</x:v>
      </x:c>
      <x:c r="L26" s="35" t="n">
        <x:f>IF(INDEX('Annual income'!$K$8:$K$26,MATCH($A26,'Annual income'!$A$8:$A$26,0)),100*SUMIFS('Annual income'!$E$8:$E$26,'Annual income'!$A$8:$A$26,$A26)/SUMIFS('Annual assets'!$C$8:$C$26,'Annual assets'!$A$8:$A$26,$A26),"")</x:f>
        <x:v>0.6366027522586055</x:v>
      </x:c>
      <x:c r="M26" s="35" t="n">
        <x:f>IF(INDEX('Annual income'!$K$8:$K$26,MATCH($A26,'Annual income'!$A$8:$A$26,0)),100*SUMIFS('Annual income'!$H$8:$H$26,'Annual income'!$A$8:$A$26,$A26)/SUMIFS('Annual assets'!$C$8:$C$26,'Annual assets'!$A$8:$A$26,$A26),"")</x:f>
        <x:v>0.16010368619677506</x:v>
      </x:c>
      <x:c r="N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302ea3fb13e24a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5600004196167" hidden="0" customWidth="1"/>
    <x:col min="2" max="2" width="8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Bank assets, 1933–1937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2"/>
      <x:c r="M3" s="2"/>
      <x:c r="N3" s="2"/>
    </x:row>
    <x:row r="4" ht="20" customHeight="1">
      <x:c r="A4" s="6" t="str">
        <x:v>Kašpar handbook cohort. Source cash and debtors retain the source meanings; see the Dictionary and Source notes.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Bank ID</x:v>
      </x:c>
      <x:c r="B7" s="16" t="str">
        <x:v>Year</x:v>
      </x:c>
      <x:c r="C7" s="16" t="str">
        <x:v>Total assets</x:v>
      </x:c>
      <x:c r="D7" s="16" t="str">
        <x:v>Source cash</x:v>
      </x:c>
      <x:c r="E7" s="16" t="str">
        <x:v>Bills</x:v>
      </x:c>
      <x:c r="F7" s="16" t="str">
        <x:v>Securities</x:v>
      </x:c>
      <x:c r="G7" s="16" t="str">
        <x:v>Participations</x:v>
      </x:c>
      <x:c r="H7" s="16" t="str">
        <x:v>Debtors</x:v>
      </x:c>
      <x:c r="I7" s="16" t="str">
        <x:v>Premises</x:v>
      </x:c>
      <x:c r="J7" s="16" t="str">
        <x:v>Other assets</x:v>
      </x:c>
      <x:c r="K7" s="17" t="str">
        <x:v>Issue loans</x:v>
      </x:c>
      <x:c r="L7" s="2"/>
      <x:c r="M7" s="2"/>
      <x:c r="N7" s="2"/>
    </x:row>
    <x:row r="8" ht="22" customHeight="1">
      <x:c r="A8" s="29" t="str">
        <x:v>agrarni</x:v>
      </x:c>
      <x:c r="B8" s="19" t="n">
        <x:v>1933</x:v>
      </x:c>
      <x:c r="C8" s="30" t="n">
        <x:v>721.3</x:v>
      </x:c>
      <x:c r="D8" s="30" t="n">
        <x:v>92.2</x:v>
      </x:c>
      <x:c r="E8" s="30" t="n">
        <x:v>49.8</x:v>
      </x:c>
      <x:c r="F8" s="30" t="n">
        <x:v>139.9</x:v>
      </x:c>
      <x:c r="G8" s="30" t="n">
        <x:v>28</x:v>
      </x:c>
      <x:c r="H8" s="30" t="n">
        <x:v>382.3</x:v>
      </x:c>
      <x:c r="I8" s="30" t="n">
        <x:v>26.3</x:v>
      </x:c>
      <x:c r="J8" s="30" t="n">
        <x:v>2.8</x:v>
      </x:c>
      <x:c r="K8" s="30"/>
      <x:c r="L8" s="2"/>
      <x:c r="M8" s="2"/>
      <x:c r="N8" s="2"/>
    </x:row>
    <x:row r="9" ht="22" customHeight="1">
      <x:c r="A9" s="31" t="str">
        <x:v>agrarni</x:v>
      </x:c>
      <x:c r="B9" s="22" t="n">
        <x:v>1934</x:v>
      </x:c>
      <x:c r="C9" s="32" t="n">
        <x:v>784.2</x:v>
      </x:c>
      <x:c r="D9" s="32" t="n">
        <x:v>123.1</x:v>
      </x:c>
      <x:c r="E9" s="32" t="n">
        <x:v>90.3</x:v>
      </x:c>
      <x:c r="F9" s="32" t="n">
        <x:v>126.2</x:v>
      </x:c>
      <x:c r="G9" s="32" t="n">
        <x:v>28.9</x:v>
      </x:c>
      <x:c r="H9" s="32" t="n">
        <x:v>381.5</x:v>
      </x:c>
      <x:c r="I9" s="32" t="n">
        <x:v>29.3</x:v>
      </x:c>
      <x:c r="J9" s="32" t="n">
        <x:v>4.8</x:v>
      </x:c>
      <x:c r="K9" s="32"/>
      <x:c r="L9" s="2"/>
      <x:c r="M9" s="2"/>
      <x:c r="N9" s="2"/>
    </x:row>
    <x:row r="10" ht="22" customHeight="1">
      <x:c r="A10" s="29" t="str">
        <x:v>agrarni</x:v>
      </x:c>
      <x:c r="B10" s="19" t="n">
        <x:v>1935</x:v>
      </x:c>
      <x:c r="C10" s="30" t="n">
        <x:v>1002.8</x:v>
      </x:c>
      <x:c r="D10" s="30" t="n">
        <x:v>210.4</x:v>
      </x:c>
      <x:c r="E10" s="30" t="n">
        <x:v>174.5</x:v>
      </x:c>
      <x:c r="F10" s="30" t="n">
        <x:v>156.4</x:v>
      </x:c>
      <x:c r="G10" s="30" t="n">
        <x:v>28.9</x:v>
      </x:c>
      <x:c r="H10" s="30" t="n">
        <x:v>395.5</x:v>
      </x:c>
      <x:c r="I10" s="30" t="n">
        <x:v>30.4</x:v>
      </x:c>
      <x:c r="J10" s="30" t="n">
        <x:v>6.7</x:v>
      </x:c>
      <x:c r="K10" s="30"/>
      <x:c r="L10" s="2"/>
      <x:c r="M10" s="2"/>
      <x:c r="N10" s="2"/>
    </x:row>
    <x:row r="11" ht="22" customHeight="1">
      <x:c r="A11" s="31" t="str">
        <x:v>agrarni</x:v>
      </x:c>
      <x:c r="B11" s="22" t="n">
        <x:v>1936</x:v>
      </x:c>
      <x:c r="C11" s="32" t="n">
        <x:v>972.9</x:v>
      </x:c>
      <x:c r="D11" s="32" t="n">
        <x:v>204.8</x:v>
      </x:c>
      <x:c r="E11" s="32" t="n">
        <x:v>84.3</x:v>
      </x:c>
      <x:c r="F11" s="32" t="n">
        <x:v>157.9</x:v>
      </x:c>
      <x:c r="G11" s="32" t="n">
        <x:v>28.4</x:v>
      </x:c>
      <x:c r="H11" s="32" t="n">
        <x:v>456.2</x:v>
      </x:c>
      <x:c r="I11" s="32" t="n">
        <x:v>35.8</x:v>
      </x:c>
      <x:c r="J11" s="32" t="n">
        <x:v>5.5</x:v>
      </x:c>
      <x:c r="K11" s="32"/>
      <x:c r="L11" s="2"/>
      <x:c r="M11" s="2"/>
      <x:c r="N11" s="2"/>
    </x:row>
    <x:row r="12" ht="22" customHeight="1">
      <x:c r="A12" s="29" t="str">
        <x:v>agrarni</x:v>
      </x:c>
      <x:c r="B12" s="19" t="n">
        <x:v>1937</x:v>
      </x:c>
      <x:c r="C12" s="30" t="n">
        <x:v>1070.8</x:v>
      </x:c>
      <x:c r="D12" s="30" t="n">
        <x:v>190.5</x:v>
      </x:c>
      <x:c r="E12" s="30" t="n">
        <x:v>65.6</x:v>
      </x:c>
      <x:c r="F12" s="30" t="n">
        <x:v>268</x:v>
      </x:c>
      <x:c r="G12" s="30" t="n">
        <x:v>29.1</x:v>
      </x:c>
      <x:c r="H12" s="30" t="n">
        <x:v>469.8</x:v>
      </x:c>
      <x:c r="I12" s="30" t="n">
        <x:v>44.7</x:v>
      </x:c>
      <x:c r="J12" s="30" t="n">
        <x:v>3.1</x:v>
      </x:c>
      <x:c r="K12" s="30"/>
      <x:c r="L12" s="2"/>
      <x:c r="M12" s="2"/>
      <x:c r="N12" s="2"/>
    </x:row>
    <x:row r="13" ht="22" customHeight="1">
      <x:c r="A13" s="31" t="str">
        <x:v>lander</x:v>
      </x:c>
      <x:c r="B13" s="22" t="n">
        <x:v>1933</x:v>
      </x:c>
      <x:c r="C13" s="32" t="n">
        <x:v>1305.2</x:v>
      </x:c>
      <x:c r="D13" s="32" t="n">
        <x:v>242.2</x:v>
      </x:c>
      <x:c r="E13" s="32" t="n">
        <x:v>202.5</x:v>
      </x:c>
      <x:c r="F13" s="32" t="n">
        <x:v>60.5</x:v>
      </x:c>
      <x:c r="G13" s="32" t="n">
        <x:v>49</x:v>
      </x:c>
      <x:c r="H13" s="32" t="n">
        <x:v>715.6</x:v>
      </x:c>
      <x:c r="I13" s="32" t="n">
        <x:v>26.6</x:v>
      </x:c>
      <x:c r="J13" s="32" t="n">
        <x:v>8.8</x:v>
      </x:c>
      <x:c r="K13" s="32"/>
      <x:c r="L13" s="2"/>
      <x:c r="M13" s="2"/>
      <x:c r="N13" s="2"/>
    </x:row>
    <x:row r="14" ht="22" customHeight="1">
      <x:c r="A14" s="29" t="str">
        <x:v>lander</x:v>
      </x:c>
      <x:c r="B14" s="19" t="n">
        <x:v>1934</x:v>
      </x:c>
      <x:c r="C14" s="30" t="n">
        <x:v>1281.4</x:v>
      </x:c>
      <x:c r="D14" s="30" t="n">
        <x:v>300.4</x:v>
      </x:c>
      <x:c r="E14" s="30" t="n">
        <x:v>153.9</x:v>
      </x:c>
      <x:c r="F14" s="30" t="n">
        <x:v>66.4</x:v>
      </x:c>
      <x:c r="G14" s="30" t="n">
        <x:v>48.7</x:v>
      </x:c>
      <x:c r="H14" s="30" t="n">
        <x:v>665.4</x:v>
      </x:c>
      <x:c r="I14" s="30" t="n">
        <x:v>30.3</x:v>
      </x:c>
      <x:c r="J14" s="30" t="n">
        <x:v>16.3</x:v>
      </x:c>
      <x:c r="K14" s="30"/>
      <x:c r="L14" s="2"/>
      <x:c r="M14" s="2"/>
      <x:c r="N14" s="2"/>
    </x:row>
    <x:row r="15" ht="22" customHeight="1">
      <x:c r="A15" s="31" t="str">
        <x:v>lander</x:v>
      </x:c>
      <x:c r="B15" s="22" t="n">
        <x:v>1935</x:v>
      </x:c>
      <x:c r="C15" s="32" t="n">
        <x:v>1308.3</x:v>
      </x:c>
      <x:c r="D15" s="32" t="n">
        <x:v>308.8</x:v>
      </x:c>
      <x:c r="E15" s="32" t="n">
        <x:v>129.9</x:v>
      </x:c>
      <x:c r="F15" s="32" t="n">
        <x:v>65.2</x:v>
      </x:c>
      <x:c r="G15" s="32" t="n">
        <x:v>44.1</x:v>
      </x:c>
      <x:c r="H15" s="32" t="n">
        <x:v>693.7</x:v>
      </x:c>
      <x:c r="I15" s="32" t="n">
        <x:v>27.9</x:v>
      </x:c>
      <x:c r="J15" s="32" t="n">
        <x:v>38.7</x:v>
      </x:c>
      <x:c r="K15" s="32"/>
      <x:c r="L15" s="2"/>
      <x:c r="M15" s="2"/>
      <x:c r="N15" s="2"/>
    </x:row>
    <x:row r="16" ht="22" customHeight="1">
      <x:c r="A16" s="29" t="str">
        <x:v>lander</x:v>
      </x:c>
      <x:c r="B16" s="19" t="n">
        <x:v>1936</x:v>
      </x:c>
      <x:c r="C16" s="30" t="n">
        <x:v>1326</x:v>
      </x:c>
      <x:c r="D16" s="30" t="n">
        <x:v>297</x:v>
      </x:c>
      <x:c r="E16" s="30" t="n">
        <x:v>110.7</x:v>
      </x:c>
      <x:c r="F16" s="30" t="n">
        <x:v>66</x:v>
      </x:c>
      <x:c r="G16" s="30" t="n">
        <x:v>40.9</x:v>
      </x:c>
      <x:c r="H16" s="30" t="n">
        <x:v>719.6</x:v>
      </x:c>
      <x:c r="I16" s="30" t="n">
        <x:v>27.4</x:v>
      </x:c>
      <x:c r="J16" s="30" t="n">
        <x:v>64.4</x:v>
      </x:c>
      <x:c r="K16" s="30"/>
      <x:c r="L16" s="2"/>
      <x:c r="M16" s="2"/>
      <x:c r="N16" s="2"/>
    </x:row>
    <x:row r="17" ht="22" customHeight="1">
      <x:c r="A17" s="31" t="str">
        <x:v>lander</x:v>
      </x:c>
      <x:c r="B17" s="22" t="n">
        <x:v>1937</x:v>
      </x:c>
      <x:c r="C17" s="32" t="n">
        <x:v>1331</x:v>
      </x:c>
      <x:c r="D17" s="32" t="n">
        <x:v>291.8</x:v>
      </x:c>
      <x:c r="E17" s="32" t="n">
        <x:v>114.3</x:v>
      </x:c>
      <x:c r="F17" s="32" t="n">
        <x:v>84.6</x:v>
      </x:c>
      <x:c r="G17" s="32" t="n">
        <x:v>41.9</x:v>
      </x:c>
      <x:c r="H17" s="32" t="n">
        <x:v>734.2</x:v>
      </x:c>
      <x:c r="I17" s="32" t="n">
        <x:v>26.9</x:v>
      </x:c>
      <x:c r="J17" s="32" t="n">
        <x:v>37.3</x:v>
      </x:c>
      <x:c r="K17" s="32"/>
      <x:c r="L17" s="2"/>
      <x:c r="M17" s="2"/>
      <x:c r="N17" s="2"/>
    </x:row>
    <x:row r="18" ht="22" customHeight="1">
      <x:c r="A18" s="29" t="str">
        <x:v>ceska</x:v>
      </x:c>
      <x:c r="B18" s="19" t="n">
        <x:v>1933</x:v>
      </x:c>
      <x:c r="C18" s="30" t="n">
        <x:v>502.4</x:v>
      </x:c>
      <x:c r="D18" s="30" t="n">
        <x:v>65.9</x:v>
      </x:c>
      <x:c r="E18" s="30" t="n">
        <x:v>12.3</x:v>
      </x:c>
      <x:c r="F18" s="30" t="n">
        <x:v>40.4</x:v>
      </x:c>
      <x:c r="G18" s="30" t="n">
        <x:v>19.4</x:v>
      </x:c>
      <x:c r="H18" s="30" t="n">
        <x:v>329.4</x:v>
      </x:c>
      <x:c r="I18" s="30" t="n">
        <x:v>29.7</x:v>
      </x:c>
      <x:c r="J18" s="30" t="n">
        <x:v>5.4</x:v>
      </x:c>
      <x:c r="K18" s="30"/>
      <x:c r="L18" s="2"/>
      <x:c r="M18" s="2"/>
      <x:c r="N18" s="2"/>
    </x:row>
    <x:row r="19" ht="22" customHeight="1">
      <x:c r="A19" s="31" t="str">
        <x:v>ceska</x:v>
      </x:c>
      <x:c r="B19" s="22" t="n">
        <x:v>1934</x:v>
      </x:c>
      <x:c r="C19" s="32" t="n">
        <x:v>504.4</x:v>
      </x:c>
      <x:c r="D19" s="32" t="n">
        <x:v>61.1</x:v>
      </x:c>
      <x:c r="E19" s="32" t="n">
        <x:v>13.5</x:v>
      </x:c>
      <x:c r="F19" s="32" t="n">
        <x:v>40</x:v>
      </x:c>
      <x:c r="G19" s="32" t="n">
        <x:v>18.9</x:v>
      </x:c>
      <x:c r="H19" s="32" t="n">
        <x:v>332.5</x:v>
      </x:c>
      <x:c r="I19" s="32" t="n">
        <x:v>31.2</x:v>
      </x:c>
      <x:c r="J19" s="32" t="n">
        <x:v>7.2</x:v>
      </x:c>
      <x:c r="K19" s="32"/>
      <x:c r="L19" s="2"/>
      <x:c r="M19" s="2"/>
      <x:c r="N19" s="2"/>
    </x:row>
    <x:row r="20" ht="22" customHeight="1">
      <x:c r="A20" s="29" t="str">
        <x:v>ceska</x:v>
      </x:c>
      <x:c r="B20" s="19" t="n">
        <x:v>1935</x:v>
      </x:c>
      <x:c r="C20" s="30" t="n">
        <x:v>570.7</x:v>
      </x:c>
      <x:c r="D20" s="30" t="n">
        <x:v>79.1</x:v>
      </x:c>
      <x:c r="E20" s="30" t="n">
        <x:v>33.2</x:v>
      </x:c>
      <x:c r="F20" s="30" t="n">
        <x:v>47.3</x:v>
      </x:c>
      <x:c r="G20" s="30" t="n">
        <x:v>17.6</x:v>
      </x:c>
      <x:c r="H20" s="30" t="n">
        <x:v>357.7</x:v>
      </x:c>
      <x:c r="I20" s="30" t="n">
        <x:v>30.4</x:v>
      </x:c>
      <x:c r="J20" s="30" t="n">
        <x:v>5.4</x:v>
      </x:c>
      <x:c r="K20" s="30"/>
      <x:c r="L20" s="2"/>
      <x:c r="M20" s="2"/>
      <x:c r="N20" s="2"/>
    </x:row>
    <x:row r="21" ht="22" customHeight="1">
      <x:c r="A21" s="31" t="str">
        <x:v>ceska</x:v>
      </x:c>
      <x:c r="B21" s="22" t="n">
        <x:v>1936</x:v>
      </x:c>
      <x:c r="C21" s="32" t="n">
        <x:v>624.9</x:v>
      </x:c>
      <x:c r="D21" s="32" t="n">
        <x:v>86.3</x:v>
      </x:c>
      <x:c r="E21" s="32" t="n">
        <x:v>28.5</x:v>
      </x:c>
      <x:c r="F21" s="32" t="n">
        <x:v>57.1</x:v>
      </x:c>
      <x:c r="G21" s="32" t="n">
        <x:v>17.6</x:v>
      </x:c>
      <x:c r="H21" s="32" t="n">
        <x:v>397.8</x:v>
      </x:c>
      <x:c r="I21" s="32" t="n">
        <x:v>31</x:v>
      </x:c>
      <x:c r="J21" s="32" t="n">
        <x:v>6.6</x:v>
      </x:c>
      <x:c r="K21" s="32"/>
      <x:c r="L21" s="2"/>
      <x:c r="M21" s="2"/>
      <x:c r="N21" s="2"/>
    </x:row>
    <x:row r="22" ht="22" customHeight="1">
      <x:c r="A22" s="29" t="str">
        <x:v>ceska</x:v>
      </x:c>
      <x:c r="B22" s="19" t="n">
        <x:v>1937</x:v>
      </x:c>
      <x:c r="C22" s="30" t="n">
        <x:v>603</x:v>
      </x:c>
      <x:c r="D22" s="30" t="n">
        <x:v>76.9</x:v>
      </x:c>
      <x:c r="E22" s="30" t="n">
        <x:v>15.9</x:v>
      </x:c>
      <x:c r="F22" s="30" t="n">
        <x:v>91.5</x:v>
      </x:c>
      <x:c r="G22" s="30" t="n">
        <x:v>19.5</x:v>
      </x:c>
      <x:c r="H22" s="30" t="n">
        <x:v>360.7</x:v>
      </x:c>
      <x:c r="I22" s="30" t="n">
        <x:v>31.9</x:v>
      </x:c>
      <x:c r="J22" s="30" t="n">
        <x:v>6.6</x:v>
      </x:c>
      <x:c r="K22" s="30"/>
      <x:c r="L22" s="2"/>
      <x:c r="M22" s="2"/>
      <x:c r="N22" s="2"/>
    </x:row>
    <x:row r="23" ht="22" customHeight="1">
      <x:c r="A23" s="31" t="str">
        <x:v>union</x:v>
      </x:c>
      <x:c r="B23" s="22" t="n">
        <x:v>1933</x:v>
      </x:c>
      <x:c r="C23" s="32" t="n">
        <x:v>2649</x:v>
      </x:c>
      <x:c r="D23" s="32" t="n">
        <x:v>297.3</x:v>
      </x:c>
      <x:c r="E23" s="32" t="n">
        <x:v>206.7</x:v>
      </x:c>
      <x:c r="F23" s="32" t="n">
        <x:v>125.8</x:v>
      </x:c>
      <x:c r="G23" s="32" t="n">
        <x:v>98</x:v>
      </x:c>
      <x:c r="H23" s="32" t="n">
        <x:v>1829.8</x:v>
      </x:c>
      <x:c r="I23" s="32" t="n">
        <x:v>41.9</x:v>
      </x:c>
      <x:c r="J23" s="32" t="n">
        <x:v>49.5</x:v>
      </x:c>
      <x:c r="K23" s="32"/>
      <x:c r="L23" s="2"/>
      <x:c r="M23" s="2"/>
      <x:c r="N23" s="2"/>
    </x:row>
    <x:row r="24" ht="22" customHeight="1">
      <x:c r="A24" s="29" t="str">
        <x:v>union</x:v>
      </x:c>
      <x:c r="B24" s="19" t="n">
        <x:v>1934</x:v>
      </x:c>
      <x:c r="C24" s="30" t="n">
        <x:v>2587.2</x:v>
      </x:c>
      <x:c r="D24" s="30" t="n">
        <x:v>277.8</x:v>
      </x:c>
      <x:c r="E24" s="30" t="n">
        <x:v>204</x:v>
      </x:c>
      <x:c r="F24" s="30" t="n">
        <x:v>112.1</x:v>
      </x:c>
      <x:c r="G24" s="30" t="n">
        <x:v>93.1</x:v>
      </x:c>
      <x:c r="H24" s="30" t="n">
        <x:v>1809.6</x:v>
      </x:c>
      <x:c r="I24" s="30" t="n">
        <x:v>42.4</x:v>
      </x:c>
      <x:c r="J24" s="30" t="n">
        <x:v>48.2</x:v>
      </x:c>
      <x:c r="K24" s="30"/>
      <x:c r="L24" s="2"/>
      <x:c r="M24" s="2"/>
      <x:c r="N24" s="2"/>
    </x:row>
    <x:row r="25" ht="22" customHeight="1">
      <x:c r="A25" s="31" t="str">
        <x:v>union</x:v>
      </x:c>
      <x:c r="B25" s="22" t="n">
        <x:v>1935</x:v>
      </x:c>
      <x:c r="C25" s="32" t="n">
        <x:v>2736.8</x:v>
      </x:c>
      <x:c r="D25" s="32" t="n">
        <x:v>372</x:v>
      </x:c>
      <x:c r="E25" s="32" t="n">
        <x:v>195.3</x:v>
      </x:c>
      <x:c r="F25" s="32" t="n">
        <x:v>153.4</x:v>
      </x:c>
      <x:c r="G25" s="32" t="n">
        <x:v>94.3</x:v>
      </x:c>
      <x:c r="H25" s="32" t="n">
        <x:v>1799</x:v>
      </x:c>
      <x:c r="I25" s="32" t="n">
        <x:v>43.6</x:v>
      </x:c>
      <x:c r="J25" s="32" t="n">
        <x:v>79.2</x:v>
      </x:c>
      <x:c r="K25" s="32"/>
      <x:c r="L25" s="2"/>
      <x:c r="M25" s="2"/>
      <x:c r="N25" s="2"/>
    </x:row>
    <x:row r="26" ht="22" customHeight="1">
      <x:c r="A26" s="29" t="str">
        <x:v>union</x:v>
      </x:c>
      <x:c r="B26" s="19" t="n">
        <x:v>1936</x:v>
      </x:c>
      <x:c r="C26" s="30" t="n">
        <x:v>2728.6</x:v>
      </x:c>
      <x:c r="D26" s="30" t="n">
        <x:v>337.2</x:v>
      </x:c>
      <x:c r="E26" s="30" t="n">
        <x:v>203.9</x:v>
      </x:c>
      <x:c r="F26" s="30" t="n">
        <x:v>204.5</x:v>
      </x:c>
      <x:c r="G26" s="30" t="n">
        <x:v>94.3</x:v>
      </x:c>
      <x:c r="H26" s="30" t="n">
        <x:v>1715.6</x:v>
      </x:c>
      <x:c r="I26" s="30" t="n">
        <x:v>43.6</x:v>
      </x:c>
      <x:c r="J26" s="30" t="n">
        <x:v>129.5</x:v>
      </x:c>
      <x:c r="K26" s="30"/>
      <x:c r="L26" s="2"/>
      <x:c r="M26" s="2"/>
      <x:c r="N26" s="2"/>
    </x:row>
    <x:row r="27" ht="22" customHeight="1">
      <x:c r="A27" s="31" t="str">
        <x:v>union</x:v>
      </x:c>
      <x:c r="B27" s="22" t="n">
        <x:v>1937</x:v>
      </x:c>
      <x:c r="C27" s="32" t="n">
        <x:v>2977.8</x:v>
      </x:c>
      <x:c r="D27" s="32" t="n">
        <x:v>381.1</x:v>
      </x:c>
      <x:c r="E27" s="32" t="n">
        <x:v>189.5</x:v>
      </x:c>
      <x:c r="F27" s="32" t="n">
        <x:v>237.2</x:v>
      </x:c>
      <x:c r="G27" s="32" t="n">
        <x:v>94.3</x:v>
      </x:c>
      <x:c r="H27" s="32" t="n">
        <x:v>1931.2</x:v>
      </x:c>
      <x:c r="I27" s="32" t="n">
        <x:v>43.4</x:v>
      </x:c>
      <x:c r="J27" s="32" t="n">
        <x:v>101.1</x:v>
      </x:c>
      <x:c r="K27" s="32"/>
      <x:c r="L27" s="2"/>
      <x:c r="M27" s="2"/>
      <x:c r="N27" s="2"/>
    </x:row>
    <x:row r="28" ht="22" customHeight="1">
      <x:c r="A28" s="29" t="str">
        <x:v>escomp</x:v>
      </x:c>
      <x:c r="B28" s="19" t="n">
        <x:v>1933</x:v>
      </x:c>
      <x:c r="C28" s="30" t="n">
        <x:v>2404.5</x:v>
      </x:c>
      <x:c r="D28" s="30" t="n">
        <x:v>230.4</x:v>
      </x:c>
      <x:c r="E28" s="30" t="n">
        <x:v>191.9</x:v>
      </x:c>
      <x:c r="F28" s="30" t="n">
        <x:v>142.3</x:v>
      </x:c>
      <x:c r="G28" s="30" t="n">
        <x:v>157.3</x:v>
      </x:c>
      <x:c r="H28" s="30" t="n">
        <x:v>1528.5</x:v>
      </x:c>
      <x:c r="I28" s="30" t="n">
        <x:v>123.8</x:v>
      </x:c>
      <x:c r="J28" s="30" t="n">
        <x:v>30.3</x:v>
      </x:c>
      <x:c r="K28" s="30"/>
      <x:c r="L28" s="2"/>
      <x:c r="M28" s="2"/>
      <x:c r="N28" s="2"/>
    </x:row>
    <x:row r="29" ht="22" customHeight="1">
      <x:c r="A29" s="31" t="str">
        <x:v>escomp</x:v>
      </x:c>
      <x:c r="B29" s="22" t="n">
        <x:v>1934</x:v>
      </x:c>
      <x:c r="C29" s="32" t="n">
        <x:v>2449.9</x:v>
      </x:c>
      <x:c r="D29" s="32" t="n">
        <x:v>219.6</x:v>
      </x:c>
      <x:c r="E29" s="32" t="n">
        <x:v>159.2</x:v>
      </x:c>
      <x:c r="F29" s="32" t="n">
        <x:v>114.4</x:v>
      </x:c>
      <x:c r="G29" s="32" t="n">
        <x:v>150</x:v>
      </x:c>
      <x:c r="H29" s="32" t="n">
        <x:v>1634</x:v>
      </x:c>
      <x:c r="I29" s="32" t="n">
        <x:v>121.4</x:v>
      </x:c>
      <x:c r="J29" s="32" t="n">
        <x:v>51.3</x:v>
      </x:c>
      <x:c r="K29" s="32"/>
      <x:c r="L29" s="2"/>
      <x:c r="M29" s="2"/>
      <x:c r="N29" s="2"/>
    </x:row>
    <x:row r="30" ht="22" customHeight="1">
      <x:c r="A30" s="29" t="str">
        <x:v>escomp</x:v>
      </x:c>
      <x:c r="B30" s="19" t="n">
        <x:v>1935</x:v>
      </x:c>
      <x:c r="C30" s="30" t="n">
        <x:v>2350.5</x:v>
      </x:c>
      <x:c r="D30" s="30" t="n">
        <x:v>259.2</x:v>
      </x:c>
      <x:c r="E30" s="30" t="n">
        <x:v>120.6</x:v>
      </x:c>
      <x:c r="F30" s="30" t="n">
        <x:v>100.8</x:v>
      </x:c>
      <x:c r="G30" s="30" t="n">
        <x:v>150</x:v>
      </x:c>
      <x:c r="H30" s="30" t="n">
        <x:v>1566.5</x:v>
      </x:c>
      <x:c r="I30" s="30" t="n">
        <x:v>119.5</x:v>
      </x:c>
      <x:c r="J30" s="30" t="n">
        <x:v>33.9</x:v>
      </x:c>
      <x:c r="K30" s="30"/>
      <x:c r="L30" s="2"/>
      <x:c r="M30" s="2"/>
      <x:c r="N30" s="2"/>
    </x:row>
    <x:row r="31" ht="22" customHeight="1">
      <x:c r="A31" s="31" t="str">
        <x:v>escomp</x:v>
      </x:c>
      <x:c r="B31" s="22" t="n">
        <x:v>1936</x:v>
      </x:c>
      <x:c r="C31" s="32" t="n">
        <x:v>2494.5</x:v>
      </x:c>
      <x:c r="D31" s="32" t="n">
        <x:v>240.4</x:v>
      </x:c>
      <x:c r="E31" s="32" t="n">
        <x:v>132.5</x:v>
      </x:c>
      <x:c r="F31" s="32" t="n">
        <x:v>160.4</x:v>
      </x:c>
      <x:c r="G31" s="32" t="n">
        <x:v>170</x:v>
      </x:c>
      <x:c r="H31" s="32" t="n">
        <x:v>1590.4</x:v>
      </x:c>
      <x:c r="I31" s="32" t="n">
        <x:v>120.9</x:v>
      </x:c>
      <x:c r="J31" s="32" t="n">
        <x:v>79.9</x:v>
      </x:c>
      <x:c r="K31" s="32"/>
      <x:c r="L31" s="2"/>
      <x:c r="M31" s="2"/>
      <x:c r="N31" s="2"/>
    </x:row>
    <x:row r="32" ht="22" customHeight="1">
      <x:c r="A32" s="29" t="str">
        <x:v>escomp</x:v>
      </x:c>
      <x:c r="B32" s="19" t="n">
        <x:v>1937</x:v>
      </x:c>
      <x:c r="C32" s="30" t="n">
        <x:v>2633.3</x:v>
      </x:c>
      <x:c r="D32" s="30" t="n">
        <x:v>224.1</x:v>
      </x:c>
      <x:c r="E32" s="30" t="n">
        <x:v>132.1</x:v>
      </x:c>
      <x:c r="F32" s="30" t="n">
        <x:v>212.6</x:v>
      </x:c>
      <x:c r="G32" s="30" t="n">
        <x:v>180</x:v>
      </x:c>
      <x:c r="H32" s="30" t="n">
        <x:v>1696.3</x:v>
      </x:c>
      <x:c r="I32" s="30" t="n">
        <x:v>120.1</x:v>
      </x:c>
      <x:c r="J32" s="30" t="n">
        <x:v>68.1</x:v>
      </x:c>
      <x:c r="K32" s="30"/>
      <x:c r="L32" s="2"/>
      <x:c r="M32" s="2"/>
      <x:c r="N32" s="2"/>
    </x:row>
    <x:row r="33" ht="22" customHeight="1">
      <x:c r="A33" s="31" t="str">
        <x:v>prumyslova</x:v>
      </x:c>
      <x:c r="B33" s="22" t="n">
        <x:v>1933</x:v>
      </x:c>
      <x:c r="C33" s="32" t="n">
        <x:v>1695.5</x:v>
      </x:c>
      <x:c r="D33" s="32" t="n">
        <x:v>79.7</x:v>
      </x:c>
      <x:c r="E33" s="32" t="n">
        <x:v>32.6</x:v>
      </x:c>
      <x:c r="F33" s="32" t="n">
        <x:v>320.8</x:v>
      </x:c>
      <x:c r="G33" s="32" t="n">
        <x:v>69.3</x:v>
      </x:c>
      <x:c r="H33" s="32" t="n">
        <x:v>1053.6</x:v>
      </x:c>
      <x:c r="I33" s="32" t="n">
        <x:v>118</x:v>
      </x:c>
      <x:c r="J33" s="32" t="n">
        <x:v>8.2</x:v>
      </x:c>
      <x:c r="K33" s="32" t="n">
        <x:v>13.3</x:v>
      </x:c>
      <x:c r="L33" s="2"/>
      <x:c r="M33" s="2"/>
      <x:c r="N33" s="2"/>
    </x:row>
    <x:row r="34" ht="22" customHeight="1">
      <x:c r="A34" s="29" t="str">
        <x:v>prumyslova</x:v>
      </x:c>
      <x:c r="B34" s="19" t="n">
        <x:v>1934</x:v>
      </x:c>
      <x:c r="C34" s="30" t="n">
        <x:v>1646.6</x:v>
      </x:c>
      <x:c r="D34" s="30" t="n">
        <x:v>75.8</x:v>
      </x:c>
      <x:c r="E34" s="30" t="n">
        <x:v>29.1</x:v>
      </x:c>
      <x:c r="F34" s="30" t="n">
        <x:v>316.8</x:v>
      </x:c>
      <x:c r="G34" s="30" t="n">
        <x:v>69.5</x:v>
      </x:c>
      <x:c r="H34" s="30" t="n">
        <x:v>1007.9</x:v>
      </x:c>
      <x:c r="I34" s="30" t="n">
        <x:v>124.7</x:v>
      </x:c>
      <x:c r="J34" s="30" t="n">
        <x:v>10.2</x:v>
      </x:c>
      <x:c r="K34" s="30" t="n">
        <x:v>12.6</x:v>
      </x:c>
      <x:c r="L34" s="2"/>
      <x:c r="M34" s="2"/>
      <x:c r="N34" s="2"/>
    </x:row>
    <x:row r="35" ht="22" customHeight="1">
      <x:c r="A35" s="31" t="str">
        <x:v>prumyslova</x:v>
      </x:c>
      <x:c r="B35" s="22" t="n">
        <x:v>1935</x:v>
      </x:c>
      <x:c r="C35" s="32" t="n">
        <x:v>1694.5</x:v>
      </x:c>
      <x:c r="D35" s="32" t="n">
        <x:v>99</x:v>
      </x:c>
      <x:c r="E35" s="32" t="n">
        <x:v>27.8</x:v>
      </x:c>
      <x:c r="F35" s="32" t="n">
        <x:v>309.3</x:v>
      </x:c>
      <x:c r="G35" s="32" t="n">
        <x:v>69.5</x:v>
      </x:c>
      <x:c r="H35" s="32" t="n">
        <x:v>1036.8</x:v>
      </x:c>
      <x:c r="I35" s="32" t="n">
        <x:v>130.9</x:v>
      </x:c>
      <x:c r="J35" s="32" t="n">
        <x:v>9</x:v>
      </x:c>
      <x:c r="K35" s="32" t="n">
        <x:v>12.2</x:v>
      </x:c>
      <x:c r="L35" s="2"/>
      <x:c r="M35" s="2"/>
      <x:c r="N35" s="2"/>
    </x:row>
    <x:row r="36" ht="22" customHeight="1">
      <x:c r="A36" s="29" t="str">
        <x:v>prumyslova</x:v>
      </x:c>
      <x:c r="B36" s="19" t="n">
        <x:v>1936</x:v>
      </x:c>
      <x:c r="C36" s="30" t="n">
        <x:v>1725.4</x:v>
      </x:c>
      <x:c r="D36" s="30" t="n">
        <x:v>105.7</x:v>
      </x:c>
      <x:c r="E36" s="30" t="n">
        <x:v>26.2</x:v>
      </x:c>
      <x:c r="F36" s="30" t="n">
        <x:v>303.2</x:v>
      </x:c>
      <x:c r="G36" s="30" t="n">
        <x:v>69.5</x:v>
      </x:c>
      <x:c r="H36" s="30" t="n">
        <x:v>1063.6</x:v>
      </x:c>
      <x:c r="I36" s="30" t="n">
        <x:v>135.4</x:v>
      </x:c>
      <x:c r="J36" s="30" t="n">
        <x:v>10.1</x:v>
      </x:c>
      <x:c r="K36" s="30" t="n">
        <x:v>11.7</x:v>
      </x:c>
      <x:c r="L36" s="2"/>
      <x:c r="M36" s="2"/>
      <x:c r="N36" s="2"/>
    </x:row>
    <x:row r="37" ht="22" customHeight="1">
      <x:c r="A37" s="31" t="str">
        <x:v>prumyslova</x:v>
      </x:c>
      <x:c r="B37" s="22" t="n">
        <x:v>1937</x:v>
      </x:c>
      <x:c r="C37" s="32" t="n">
        <x:v>1723.8</x:v>
      </x:c>
      <x:c r="D37" s="32" t="n">
        <x:v>111.7</x:v>
      </x:c>
      <x:c r="E37" s="32" t="n">
        <x:v>25.4</x:v>
      </x:c>
      <x:c r="F37" s="32" t="n">
        <x:v>303.7</x:v>
      </x:c>
      <x:c r="G37" s="32" t="n">
        <x:v>69.5</x:v>
      </x:c>
      <x:c r="H37" s="32" t="n">
        <x:v>1058.6</x:v>
      </x:c>
      <x:c r="I37" s="32" t="n">
        <x:v>135.6</x:v>
      </x:c>
      <x:c r="J37" s="32" t="n">
        <x:v>8.1</x:v>
      </x:c>
      <x:c r="K37" s="32" t="n">
        <x:v>11.2</x:v>
      </x:c>
      <x:c r="L37" s="2"/>
      <x:c r="M37" s="2"/>
      <x:c r="N37" s="2"/>
    </x:row>
    <x:row r="38" ht="22" customHeight="1">
      <x:c r="A38" s="29" t="str">
        <x:v>moravska</x:v>
      </x:c>
      <x:c r="B38" s="19" t="n">
        <x:v>1933</x:v>
      </x:c>
      <x:c r="C38" s="30" t="n">
        <x:v>1975.2</x:v>
      </x:c>
      <x:c r="D38" s="30" t="n">
        <x:v>62.2</x:v>
      </x:c>
      <x:c r="E38" s="30" t="n">
        <x:v>40.2</x:v>
      </x:c>
      <x:c r="F38" s="30" t="n">
        <x:v>582.9</x:v>
      </x:c>
      <x:c r="G38" s="30" t="n">
        <x:v>18.4</x:v>
      </x:c>
      <x:c r="H38" s="30" t="n">
        <x:v>1204.1</x:v>
      </x:c>
      <x:c r="I38" s="30" t="n">
        <x:v>36.3</x:v>
      </x:c>
      <x:c r="J38" s="30" t="n">
        <x:v>11.1</x:v>
      </x:c>
      <x:c r="K38" s="30"/>
      <x:c r="L38" s="2"/>
      <x:c r="M38" s="2"/>
      <x:c r="N38" s="2"/>
    </x:row>
    <x:row r="39" ht="22" customHeight="1">
      <x:c r="A39" s="31" t="str">
        <x:v>moravska</x:v>
      </x:c>
      <x:c r="B39" s="22" t="n">
        <x:v>1934</x:v>
      </x:c>
      <x:c r="C39" s="32" t="n">
        <x:v>1954.7</x:v>
      </x:c>
      <x:c r="D39" s="32" t="n">
        <x:v>77.7</x:v>
      </x:c>
      <x:c r="E39" s="32" t="n">
        <x:v>53.3</x:v>
      </x:c>
      <x:c r="F39" s="32" t="n">
        <x:v>577.3</x:v>
      </x:c>
      <x:c r="G39" s="32" t="n">
        <x:v>18.2</x:v>
      </x:c>
      <x:c r="H39" s="32" t="n">
        <x:v>1185.1</x:v>
      </x:c>
      <x:c r="I39" s="32" t="n">
        <x:v>36.1</x:v>
      </x:c>
      <x:c r="J39" s="32" t="n">
        <x:v>7</x:v>
      </x:c>
      <x:c r="K39" s="32"/>
      <x:c r="L39" s="2"/>
      <x:c r="M39" s="2"/>
      <x:c r="N39" s="2"/>
    </x:row>
    <x:row r="40" ht="22" customHeight="1">
      <x:c r="A40" s="29" t="str">
        <x:v>moravska</x:v>
      </x:c>
      <x:c r="B40" s="19" t="n">
        <x:v>1935</x:v>
      </x:c>
      <x:c r="C40" s="30" t="n">
        <x:v>1999.5</x:v>
      </x:c>
      <x:c r="D40" s="30" t="n">
        <x:v>88.4</x:v>
      </x:c>
      <x:c r="E40" s="30" t="n">
        <x:v>61.9</x:v>
      </x:c>
      <x:c r="F40" s="30" t="n">
        <x:v>577.8</x:v>
      </x:c>
      <x:c r="G40" s="30" t="n">
        <x:v>47.2</x:v>
      </x:c>
      <x:c r="H40" s="30" t="n">
        <x:v>1176.8</x:v>
      </x:c>
      <x:c r="I40" s="30" t="n">
        <x:v>38.1</x:v>
      </x:c>
      <x:c r="J40" s="30" t="n">
        <x:v>9.3</x:v>
      </x:c>
      <x:c r="K40" s="30"/>
      <x:c r="L40" s="2"/>
      <x:c r="M40" s="2"/>
      <x:c r="N40" s="2"/>
    </x:row>
    <x:row r="41" ht="22" customHeight="1">
      <x:c r="A41" s="31" t="str">
        <x:v>moravska</x:v>
      </x:c>
      <x:c r="B41" s="22" t="n">
        <x:v>1936</x:v>
      </x:c>
      <x:c r="C41" s="32" t="n">
        <x:v>2067.7</x:v>
      </x:c>
      <x:c r="D41" s="32" t="n">
        <x:v>134.2</x:v>
      </x:c>
      <x:c r="E41" s="32" t="n">
        <x:v>48.7</x:v>
      </x:c>
      <x:c r="F41" s="32" t="n">
        <x:v>574.4</x:v>
      </x:c>
      <x:c r="G41" s="32" t="n">
        <x:v>48.2</x:v>
      </x:c>
      <x:c r="H41" s="32" t="n">
        <x:v>1206.9</x:v>
      </x:c>
      <x:c r="I41" s="32" t="n">
        <x:v>39.6</x:v>
      </x:c>
      <x:c r="J41" s="32" t="n">
        <x:v>15.7</x:v>
      </x:c>
      <x:c r="K41" s="32"/>
      <x:c r="L41" s="2"/>
      <x:c r="M41" s="2"/>
      <x:c r="N41" s="2"/>
    </x:row>
    <x:row r="42" ht="22" customHeight="1">
      <x:c r="A42" s="29" t="str">
        <x:v>moravska</x:v>
      </x:c>
      <x:c r="B42" s="19" t="n">
        <x:v>1937</x:v>
      </x:c>
      <x:c r="C42" s="30" t="n">
        <x:v>2085.8</x:v>
      </x:c>
      <x:c r="D42" s="30" t="n">
        <x:v>138.5</x:v>
      </x:c>
      <x:c r="E42" s="30" t="n">
        <x:v>37.5</x:v>
      </x:c>
      <x:c r="F42" s="30" t="n">
        <x:v>578.4</x:v>
      </x:c>
      <x:c r="G42" s="30" t="n">
        <x:v>47.3</x:v>
      </x:c>
      <x:c r="H42" s="30" t="n">
        <x:v>1220.9</x:v>
      </x:c>
      <x:c r="I42" s="30" t="n">
        <x:v>46.3</x:v>
      </x:c>
      <x:c r="J42" s="30" t="n">
        <x:v>16.9</x:v>
      </x:c>
      <x:c r="K42" s="30"/>
      <x:c r="L42" s="2"/>
      <x:c r="M42" s="2"/>
      <x:c r="N42" s="2"/>
    </x:row>
    <x:row r="43" ht="22" customHeight="1">
      <x:c r="A43" s="31" t="str">
        <x:v>plzenska</x:v>
      </x:c>
      <x:c r="B43" s="22" t="n">
        <x:v>1933</x:v>
      </x:c>
      <x:c r="C43" s="32" t="n">
        <x:v>200.4</x:v>
      </x:c>
      <x:c r="D43" s="32" t="n">
        <x:v>34.9</x:v>
      </x:c>
      <x:c r="E43" s="32" t="n">
        <x:v>1.3</x:v>
      </x:c>
      <x:c r="F43" s="32" t="n">
        <x:v>16.2</x:v>
      </x:c>
      <x:c r="G43" s="32" t="n">
        <x:v>5.4</x:v>
      </x:c>
      <x:c r="H43" s="32" t="n">
        <x:v>136.6</x:v>
      </x:c>
      <x:c r="I43" s="32" t="n">
        <x:v>1.4</x:v>
      </x:c>
      <x:c r="J43" s="32" t="n">
        <x:v>4.6</x:v>
      </x:c>
      <x:c r="K43" s="32"/>
      <x:c r="L43" s="2"/>
      <x:c r="M43" s="2"/>
      <x:c r="N43" s="2"/>
    </x:row>
    <x:row r="44" ht="22" customHeight="1">
      <x:c r="A44" s="29" t="str">
        <x:v>plzenska</x:v>
      </x:c>
      <x:c r="B44" s="19" t="n">
        <x:v>1934</x:v>
      </x:c>
      <x:c r="C44" s="30" t="n">
        <x:v>208</x:v>
      </x:c>
      <x:c r="D44" s="30" t="n">
        <x:v>39.4</x:v>
      </x:c>
      <x:c r="E44" s="30" t="n">
        <x:v>1.7</x:v>
      </x:c>
      <x:c r="F44" s="30" t="n">
        <x:v>15.6</x:v>
      </x:c>
      <x:c r="G44" s="30" t="n">
        <x:v>5.4</x:v>
      </x:c>
      <x:c r="H44" s="30" t="n">
        <x:v>138.9</x:v>
      </x:c>
      <x:c r="I44" s="30" t="n">
        <x:v>1.2</x:v>
      </x:c>
      <x:c r="J44" s="30" t="n">
        <x:v>5.7</x:v>
      </x:c>
      <x:c r="K44" s="30"/>
      <x:c r="L44" s="2"/>
      <x:c r="M44" s="2"/>
      <x:c r="N44" s="2"/>
    </x:row>
    <x:row r="45" ht="22" customHeight="1">
      <x:c r="A45" s="31" t="str">
        <x:v>plzenska</x:v>
      </x:c>
      <x:c r="B45" s="22" t="n">
        <x:v>1935</x:v>
      </x:c>
      <x:c r="C45" s="32" t="n">
        <x:v>224</x:v>
      </x:c>
      <x:c r="D45" s="32" t="n">
        <x:v>66.3</x:v>
      </x:c>
      <x:c r="E45" s="32" t="n">
        <x:v>2.1</x:v>
      </x:c>
      <x:c r="F45" s="32" t="n">
        <x:v>15.3</x:v>
      </x:c>
      <x:c r="G45" s="32" t="n">
        <x:v>4.8</x:v>
      </x:c>
      <x:c r="H45" s="32" t="n">
        <x:v>122.8</x:v>
      </x:c>
      <x:c r="I45" s="32" t="n">
        <x:v>1.1</x:v>
      </x:c>
      <x:c r="J45" s="32" t="n">
        <x:v>11.7</x:v>
      </x:c>
      <x:c r="K45" s="32"/>
      <x:c r="L45" s="2"/>
      <x:c r="M45" s="2"/>
      <x:c r="N45" s="2"/>
    </x:row>
    <x:row r="46" ht="22" customHeight="1">
      <x:c r="A46" s="29" t="str">
        <x:v>plzenska</x:v>
      </x:c>
      <x:c r="B46" s="19" t="n">
        <x:v>1936</x:v>
      </x:c>
      <x:c r="C46" s="30" t="n">
        <x:v>205.2</x:v>
      </x:c>
      <x:c r="D46" s="30" t="n">
        <x:v>48.1</x:v>
      </x:c>
      <x:c r="E46" s="30" t="n">
        <x:v>2.2</x:v>
      </x:c>
      <x:c r="F46" s="30" t="n">
        <x:v>15.1</x:v>
      </x:c>
      <x:c r="G46" s="30" t="n">
        <x:v>4.8</x:v>
      </x:c>
      <x:c r="H46" s="30" t="n">
        <x:v>128.1</x:v>
      </x:c>
      <x:c r="I46" s="30" t="n">
        <x:v>1.2</x:v>
      </x:c>
      <x:c r="J46" s="30" t="n">
        <x:v>5.7</x:v>
      </x:c>
      <x:c r="K46" s="30"/>
      <x:c r="L46" s="2"/>
      <x:c r="M46" s="2"/>
      <x:c r="N46" s="2"/>
    </x:row>
    <x:row r="47" ht="22" customHeight="1">
      <x:c r="A47" s="31" t="str">
        <x:v>plzenska</x:v>
      </x:c>
      <x:c r="B47" s="22" t="n">
        <x:v>1937</x:v>
      </x:c>
      <x:c r="C47" s="32" t="n">
        <x:v>205.8</x:v>
      </x:c>
      <x:c r="D47" s="32" t="n">
        <x:v>45.5</x:v>
      </x:c>
      <x:c r="E47" s="32" t="n">
        <x:v>0.9</x:v>
      </x:c>
      <x:c r="F47" s="32" t="n">
        <x:v>20.4</x:v>
      </x:c>
      <x:c r="G47" s="32" t="n">
        <x:v>4.8</x:v>
      </x:c>
      <x:c r="H47" s="32" t="n">
        <x:v>128.5</x:v>
      </x:c>
      <x:c r="I47" s="32" t="n">
        <x:v>1</x:v>
      </x:c>
      <x:c r="J47" s="32" t="n">
        <x:v>4.6</x:v>
      </x:c>
      <x:c r="K47" s="32"/>
      <x:c r="L47" s="2"/>
      <x:c r="M47" s="2"/>
      <x:c r="N47" s="2"/>
    </x:row>
    <x:row r="48" ht="22" customHeight="1">
      <x:c r="A48" s="29" t="str">
        <x:v>sporobanka</x:v>
      </x:c>
      <x:c r="B48" s="19" t="n">
        <x:v>1933</x:v>
      </x:c>
      <x:c r="C48" s="30" t="n">
        <x:v>696.2</x:v>
      </x:c>
      <x:c r="D48" s="30" t="n">
        <x:v>256</x:v>
      </x:c>
      <x:c r="E48" s="30" t="n">
        <x:v>5.3</x:v>
      </x:c>
      <x:c r="F48" s="30" t="n">
        <x:v>45.9</x:v>
      </x:c>
      <x:c r="G48" s="30" t="n">
        <x:v>2.4</x:v>
      </x:c>
      <x:c r="H48" s="30" t="n">
        <x:v>267.1</x:v>
      </x:c>
      <x:c r="I48" s="30" t="n">
        <x:v>13.8</x:v>
      </x:c>
      <x:c r="J48" s="30" t="n">
        <x:v>16.2</x:v>
      </x:c>
      <x:c r="K48" s="30" t="n">
        <x:v>89.5</x:v>
      </x:c>
      <x:c r="L48" s="2"/>
      <x:c r="M48" s="2"/>
      <x:c r="N48" s="2"/>
    </x:row>
    <x:row r="49" ht="22" customHeight="1">
      <x:c r="A49" s="31" t="str">
        <x:v>sporobanka</x:v>
      </x:c>
      <x:c r="B49" s="22" t="n">
        <x:v>1934</x:v>
      </x:c>
      <x:c r="C49" s="32" t="n">
        <x:v>761</x:v>
      </x:c>
      <x:c r="D49" s="32" t="n">
        <x:v>325.8</x:v>
      </x:c>
      <x:c r="E49" s="32" t="n">
        <x:v>3.7</x:v>
      </x:c>
      <x:c r="F49" s="32" t="n">
        <x:v>51</x:v>
      </x:c>
      <x:c r="G49" s="32" t="n">
        <x:v>2.3</x:v>
      </x:c>
      <x:c r="H49" s="32" t="n">
        <x:v>257.6</x:v>
      </x:c>
      <x:c r="I49" s="32" t="n">
        <x:v>13.4</x:v>
      </x:c>
      <x:c r="J49" s="32" t="n">
        <x:v>17.3</x:v>
      </x:c>
      <x:c r="K49" s="32" t="n">
        <x:v>89.9</x:v>
      </x:c>
      <x:c r="L49" s="2"/>
      <x:c r="M49" s="2"/>
      <x:c r="N49" s="2"/>
    </x:row>
    <x:row r="50" ht="22" customHeight="1">
      <x:c r="A50" s="29" t="str">
        <x:v>sporobanka</x:v>
      </x:c>
      <x:c r="B50" s="19" t="n">
        <x:v>1935</x:v>
      </x:c>
      <x:c r="C50" s="30" t="n">
        <x:v>851.2</x:v>
      </x:c>
      <x:c r="D50" s="30" t="n">
        <x:v>429.4</x:v>
      </x:c>
      <x:c r="E50" s="30" t="n">
        <x:v>4.9</x:v>
      </x:c>
      <x:c r="F50" s="30" t="n">
        <x:v>54.6</x:v>
      </x:c>
      <x:c r="G50" s="30" t="n">
        <x:v>2.1</x:v>
      </x:c>
      <x:c r="H50" s="30" t="n">
        <x:v>237.1</x:v>
      </x:c>
      <x:c r="I50" s="30" t="n">
        <x:v>13.5</x:v>
      </x:c>
      <x:c r="J50" s="30" t="n">
        <x:v>20.5</x:v>
      </x:c>
      <x:c r="K50" s="30" t="n">
        <x:v>89.1</x:v>
      </x:c>
      <x:c r="L50" s="2"/>
      <x:c r="M50" s="2"/>
      <x:c r="N50" s="2"/>
    </x:row>
    <x:row r="51" ht="22" customHeight="1">
      <x:c r="A51" s="31" t="str">
        <x:v>sporobanka</x:v>
      </x:c>
      <x:c r="B51" s="22" t="n">
        <x:v>1936</x:v>
      </x:c>
      <x:c r="C51" s="32" t="n">
        <x:v>848.7</x:v>
      </x:c>
      <x:c r="D51" s="32" t="n">
        <x:v>376.7</x:v>
      </x:c>
      <x:c r="E51" s="32" t="n">
        <x:v>7.8</x:v>
      </x:c>
      <x:c r="F51" s="32" t="n">
        <x:v>54.4</x:v>
      </x:c>
      <x:c r="G51" s="32" t="n">
        <x:v>2.2</x:v>
      </x:c>
      <x:c r="H51" s="32" t="n">
        <x:v>286.2</x:v>
      </x:c>
      <x:c r="I51" s="32" t="n">
        <x:v>13.6</x:v>
      </x:c>
      <x:c r="J51" s="32" t="n">
        <x:v>19.3</x:v>
      </x:c>
      <x:c r="K51" s="32" t="n">
        <x:v>88.5</x:v>
      </x:c>
      <x:c r="L51" s="2"/>
      <x:c r="M51" s="2"/>
      <x:c r="N51" s="2"/>
    </x:row>
    <x:row r="52" ht="22" customHeight="1">
      <x:c r="A52" s="29" t="str">
        <x:v>sporobanka</x:v>
      </x:c>
      <x:c r="B52" s="19" t="n">
        <x:v>1937</x:v>
      </x:c>
      <x:c r="C52" s="30" t="n">
        <x:v>1311.5</x:v>
      </x:c>
      <x:c r="D52" s="30" t="n">
        <x:v>747.7</x:v>
      </x:c>
      <x:c r="E52" s="30" t="n">
        <x:v>35.9</x:v>
      </x:c>
      <x:c r="F52" s="30" t="n">
        <x:v>53.2</x:v>
      </x:c>
      <x:c r="G52" s="30" t="n">
        <x:v>2.2</x:v>
      </x:c>
      <x:c r="H52" s="30" t="n">
        <x:v>350.3</x:v>
      </x:c>
      <x:c r="I52" s="30" t="n">
        <x:v>13</x:v>
      </x:c>
      <x:c r="J52" s="30" t="n">
        <x:v>21.9</x:v>
      </x:c>
      <x:c r="K52" s="30" t="n">
        <x:v>87.3</x:v>
      </x:c>
      <x:c r="L52" s="2"/>
      <x:c r="M52" s="2"/>
      <x:c r="N52" s="2"/>
    </x:row>
    <x:row r="53" ht="22" customHeight="1">
      <x:c r="A53" s="31" t="str">
        <x:v>zivno</x:v>
      </x:c>
      <x:c r="B53" s="22" t="n">
        <x:v>1933</x:v>
      </x:c>
      <x:c r="C53" s="32" t="n">
        <x:v>4904.8</x:v>
      </x:c>
      <x:c r="D53" s="32" t="n">
        <x:v>662.6</x:v>
      </x:c>
      <x:c r="E53" s="32" t="n">
        <x:v>889.8</x:v>
      </x:c>
      <x:c r="F53" s="32" t="n">
        <x:v>633</x:v>
      </x:c>
      <x:c r="G53" s="32" t="n">
        <x:v>217</x:v>
      </x:c>
      <x:c r="H53" s="32" t="n">
        <x:v>2373.7</x:v>
      </x:c>
      <x:c r="I53" s="32" t="n">
        <x:v>42.6</x:v>
      </x:c>
      <x:c r="J53" s="32" t="n">
        <x:v>26.8</x:v>
      </x:c>
      <x:c r="K53" s="32" t="n">
        <x:v>59.3</x:v>
      </x:c>
      <x:c r="L53" s="2"/>
      <x:c r="M53" s="2"/>
      <x:c r="N53" s="2"/>
    </x:row>
    <x:row r="54" ht="22" customHeight="1">
      <x:c r="A54" s="29" t="str">
        <x:v>zivno</x:v>
      </x:c>
      <x:c r="B54" s="19" t="n">
        <x:v>1934</x:v>
      </x:c>
      <x:c r="C54" s="30" t="n">
        <x:v>5039.1</x:v>
      </x:c>
      <x:c r="D54" s="30" t="n">
        <x:v>653.7</x:v>
      </x:c>
      <x:c r="E54" s="30" t="n">
        <x:v>1004.5</x:v>
      </x:c>
      <x:c r="F54" s="30" t="n">
        <x:v>651.3</x:v>
      </x:c>
      <x:c r="G54" s="30" t="n">
        <x:v>217</x:v>
      </x:c>
      <x:c r="H54" s="30" t="n">
        <x:v>2375.2</x:v>
      </x:c>
      <x:c r="I54" s="30" t="n">
        <x:v>42.3</x:v>
      </x:c>
      <x:c r="J54" s="30" t="n">
        <x:v>35.9</x:v>
      </x:c>
      <x:c r="K54" s="30" t="n">
        <x:v>59.2</x:v>
      </x:c>
      <x:c r="L54" s="2"/>
      <x:c r="M54" s="2"/>
      <x:c r="N54" s="2"/>
    </x:row>
    <x:row r="55" ht="22" customHeight="1">
      <x:c r="A55" s="31" t="str">
        <x:v>zivno</x:v>
      </x:c>
      <x:c r="B55" s="22" t="n">
        <x:v>1935</x:v>
      </x:c>
      <x:c r="C55" s="32" t="n">
        <x:v>5206.1</x:v>
      </x:c>
      <x:c r="D55" s="32" t="n">
        <x:v>647</x:v>
      </x:c>
      <x:c r="E55" s="32" t="n">
        <x:v>1236.3</x:v>
      </x:c>
      <x:c r="F55" s="32" t="n">
        <x:v>709.3</x:v>
      </x:c>
      <x:c r="G55" s="32" t="n">
        <x:v>217</x:v>
      </x:c>
      <x:c r="H55" s="32" t="n">
        <x:v>2247</x:v>
      </x:c>
      <x:c r="I55" s="32" t="n">
        <x:v>41</x:v>
      </x:c>
      <x:c r="J55" s="32" t="n">
        <x:v>48.8</x:v>
      </x:c>
      <x:c r="K55" s="32" t="n">
        <x:v>59.7</x:v>
      </x:c>
      <x:c r="L55" s="2"/>
      <x:c r="M55" s="2"/>
      <x:c r="N55" s="2"/>
    </x:row>
    <x:row r="56" ht="22" customHeight="1">
      <x:c r="A56" s="29" t="str">
        <x:v>zivno</x:v>
      </x:c>
      <x:c r="B56" s="19" t="n">
        <x:v>1936</x:v>
      </x:c>
      <x:c r="C56" s="30" t="n">
        <x:v>5250.3</x:v>
      </x:c>
      <x:c r="D56" s="30" t="n">
        <x:v>533.1</x:v>
      </x:c>
      <x:c r="E56" s="30" t="n">
        <x:v>1487.5</x:v>
      </x:c>
      <x:c r="F56" s="30" t="n">
        <x:v>722.9</x:v>
      </x:c>
      <x:c r="G56" s="30" t="n">
        <x:v>217</x:v>
      </x:c>
      <x:c r="H56" s="30" t="n">
        <x:v>2139.3</x:v>
      </x:c>
      <x:c r="I56" s="30" t="n">
        <x:v>40.3</x:v>
      </x:c>
      <x:c r="J56" s="30" t="n">
        <x:v>56</x:v>
      </x:c>
      <x:c r="K56" s="30" t="n">
        <x:v>54.2</x:v>
      </x:c>
      <x:c r="L56" s="2"/>
      <x:c r="M56" s="2"/>
      <x:c r="N56" s="2"/>
    </x:row>
    <x:row r="57" ht="22" customHeight="1">
      <x:c r="A57" s="31" t="str">
        <x:v>zivno</x:v>
      </x:c>
      <x:c r="B57" s="22" t="n">
        <x:v>1937</x:v>
      </x:c>
      <x:c r="C57" s="32" t="n">
        <x:v>5362.3</x:v>
      </x:c>
      <x:c r="D57" s="32" t="n">
        <x:v>510</x:v>
      </x:c>
      <x:c r="E57" s="32" t="n">
        <x:v>1484.8</x:v>
      </x:c>
      <x:c r="F57" s="32" t="n">
        <x:v>752.9</x:v>
      </x:c>
      <x:c r="G57" s="32" t="n">
        <x:v>217</x:v>
      </x:c>
      <x:c r="H57" s="32" t="n">
        <x:v>2224.9</x:v>
      </x:c>
      <x:c r="I57" s="32" t="n">
        <x:v>39.9</x:v>
      </x:c>
      <x:c r="J57" s="32" t="n">
        <x:v>71.3</x:v>
      </x:c>
      <x:c r="K57" s="32" t="n">
        <x:v>61.6</x:v>
      </x:c>
      <x:c r="L57" s="2"/>
      <x:c r="M57" s="2"/>
      <x:c r="N57" s="2"/>
    </x:row>
    <x:row r="58" ht="22" customHeight="1">
      <x:c r="A58" s="29" t="str">
        <x:v>anglo</x:v>
      </x:c>
      <x:c r="B58" s="19" t="n">
        <x:v>1933</x:v>
      </x:c>
      <x:c r="C58" s="30" t="n">
        <x:v>2880.8</x:v>
      </x:c>
      <x:c r="D58" s="30" t="n">
        <x:v>184.7</x:v>
      </x:c>
      <x:c r="E58" s="30" t="n">
        <x:v>190.9</x:v>
      </x:c>
      <x:c r="F58" s="30" t="n">
        <x:v>395.9</x:v>
      </x:c>
      <x:c r="G58" s="30" t="n">
        <x:v>73</x:v>
      </x:c>
      <x:c r="H58" s="30" t="n">
        <x:v>1939.9</x:v>
      </x:c>
      <x:c r="I58" s="30" t="n">
        <x:v>75.1</x:v>
      </x:c>
      <x:c r="J58" s="30" t="n">
        <x:v>21.3</x:v>
      </x:c>
      <x:c r="K58" s="30"/>
      <x:c r="L58" s="2"/>
      <x:c r="M58" s="2"/>
      <x:c r="N58" s="2"/>
    </x:row>
    <x:row r="59" ht="22" customHeight="1">
      <x:c r="A59" s="31" t="str">
        <x:v>anglo</x:v>
      </x:c>
      <x:c r="B59" s="22" t="n">
        <x:v>1934</x:v>
      </x:c>
      <x:c r="C59" s="32" t="n">
        <x:v>2921.5</x:v>
      </x:c>
      <x:c r="D59" s="32" t="n">
        <x:v>245.4</x:v>
      </x:c>
      <x:c r="E59" s="32" t="n">
        <x:v>145.3</x:v>
      </x:c>
      <x:c r="F59" s="32" t="n">
        <x:v>416.3</x:v>
      </x:c>
      <x:c r="G59" s="32" t="n">
        <x:v>73</x:v>
      </x:c>
      <x:c r="H59" s="32" t="n">
        <x:v>1947.6</x:v>
      </x:c>
      <x:c r="I59" s="32" t="n">
        <x:v>73.7</x:v>
      </x:c>
      <x:c r="J59" s="32" t="n">
        <x:v>20.2</x:v>
      </x:c>
      <x:c r="K59" s="32"/>
      <x:c r="L59" s="2"/>
      <x:c r="M59" s="2"/>
      <x:c r="N59" s="2"/>
    </x:row>
    <x:row r="60" ht="22" customHeight="1">
      <x:c r="A60" s="29" t="str">
        <x:v>anglo</x:v>
      </x:c>
      <x:c r="B60" s="19" t="n">
        <x:v>1935</x:v>
      </x:c>
      <x:c r="C60" s="30" t="n">
        <x:v>3016.4</x:v>
      </x:c>
      <x:c r="D60" s="30" t="n">
        <x:v>307.8</x:v>
      </x:c>
      <x:c r="E60" s="30" t="n">
        <x:v>138.5</x:v>
      </x:c>
      <x:c r="F60" s="30" t="n">
        <x:v>447.5</x:v>
      </x:c>
      <x:c r="G60" s="30" t="n">
        <x:v>73</x:v>
      </x:c>
      <x:c r="H60" s="30" t="n">
        <x:v>1959.7</x:v>
      </x:c>
      <x:c r="I60" s="30" t="n">
        <x:v>75.8</x:v>
      </x:c>
      <x:c r="J60" s="30" t="n">
        <x:v>14</x:v>
      </x:c>
      <x:c r="K60" s="30"/>
      <x:c r="L60" s="2"/>
      <x:c r="M60" s="2"/>
      <x:c r="N60" s="2"/>
    </x:row>
    <x:row r="61" ht="22" customHeight="1">
      <x:c r="A61" s="31" t="str">
        <x:v>anglo</x:v>
      </x:c>
      <x:c r="B61" s="22" t="n">
        <x:v>1936</x:v>
      </x:c>
      <x:c r="C61" s="32" t="n">
        <x:v>3197.6</x:v>
      </x:c>
      <x:c r="D61" s="32" t="n">
        <x:v>298</x:v>
      </x:c>
      <x:c r="E61" s="32" t="n">
        <x:v>145.5</x:v>
      </x:c>
      <x:c r="F61" s="32" t="n">
        <x:v>498.9</x:v>
      </x:c>
      <x:c r="G61" s="32" t="n">
        <x:v>73</x:v>
      </x:c>
      <x:c r="H61" s="32" t="n">
        <x:v>2013.2</x:v>
      </x:c>
      <x:c r="I61" s="32" t="n">
        <x:v>77.5</x:v>
      </x:c>
      <x:c r="J61" s="32" t="n">
        <x:v>91.5</x:v>
      </x:c>
      <x:c r="K61" s="32"/>
      <x:c r="L61" s="2"/>
      <x:c r="M61" s="2"/>
      <x:c r="N61" s="2"/>
    </x:row>
    <x:row r="62" ht="22" customHeight="1">
      <x:c r="A62" s="29" t="str">
        <x:v>anglo</x:v>
      </x:c>
      <x:c r="B62" s="19" t="n">
        <x:v>1937</x:v>
      </x:c>
      <x:c r="C62" s="30" t="n">
        <x:v>3385.4</x:v>
      </x:c>
      <x:c r="D62" s="30" t="n">
        <x:v>304.7</x:v>
      </x:c>
      <x:c r="E62" s="30" t="n">
        <x:v>223.2</x:v>
      </x:c>
      <x:c r="F62" s="30" t="n">
        <x:v>514.3</x:v>
      </x:c>
      <x:c r="G62" s="30" t="n">
        <x:v>73</x:v>
      </x:c>
      <x:c r="H62" s="30" t="n">
        <x:v>2116.5</x:v>
      </x:c>
      <x:c r="I62" s="30" t="n">
        <x:v>75.8</x:v>
      </x:c>
      <x:c r="J62" s="30" t="n">
        <x:v>77.9</x:v>
      </x:c>
      <x:c r="K62" s="30"/>
      <x:c r="L62" s="2"/>
      <x:c r="M62" s="2"/>
      <x:c r="N62" s="2"/>
    </x:row>
    <x:row r="63" ht="22" customHeight="1">
      <x:c r="A63" s="31" t="str">
        <x:v>legio</x:v>
      </x:c>
      <x:c r="B63" s="22" t="n">
        <x:v>1933</x:v>
      </x:c>
      <x:c r="C63" s="32" t="n">
        <x:v>1235</x:v>
      </x:c>
      <x:c r="D63" s="32" t="n">
        <x:v>108.8</x:v>
      </x:c>
      <x:c r="E63" s="32" t="n">
        <x:v>96.1</x:v>
      </x:c>
      <x:c r="F63" s="32" t="n">
        <x:v>102</x:v>
      </x:c>
      <x:c r="G63" s="32" t="n">
        <x:v>50.1</x:v>
      </x:c>
      <x:c r="H63" s="32" t="n">
        <x:v>779.1</x:v>
      </x:c>
      <x:c r="I63" s="32" t="n">
        <x:v>64.6</x:v>
      </x:c>
      <x:c r="J63" s="32" t="n">
        <x:v>34.3</x:v>
      </x:c>
      <x:c r="K63" s="32"/>
      <x:c r="L63" s="2"/>
      <x:c r="M63" s="2"/>
      <x:c r="N63" s="2"/>
    </x:row>
    <x:row r="64" ht="22" customHeight="1">
      <x:c r="A64" s="29" t="str">
        <x:v>legio</x:v>
      </x:c>
      <x:c r="B64" s="19" t="n">
        <x:v>1934</x:v>
      </x:c>
      <x:c r="C64" s="30" t="n">
        <x:v>1179.1</x:v>
      </x:c>
      <x:c r="D64" s="30" t="n">
        <x:v>98.5</x:v>
      </x:c>
      <x:c r="E64" s="30" t="n">
        <x:v>75.2</x:v>
      </x:c>
      <x:c r="F64" s="30" t="n">
        <x:v>103.6</x:v>
      </x:c>
      <x:c r="G64" s="30" t="n">
        <x:v>48.9</x:v>
      </x:c>
      <x:c r="H64" s="30" t="n">
        <x:v>756.3</x:v>
      </x:c>
      <x:c r="I64" s="30" t="n">
        <x:v>63</x:v>
      </x:c>
      <x:c r="J64" s="30" t="n">
        <x:v>33.6</x:v>
      </x:c>
      <x:c r="K64" s="30"/>
      <x:c r="L64" s="2"/>
      <x:c r="M64" s="2"/>
      <x:c r="N64" s="2"/>
    </x:row>
    <x:row r="65" ht="22" customHeight="1">
      <x:c r="A65" s="31" t="str">
        <x:v>legio</x:v>
      </x:c>
      <x:c r="B65" s="22" t="n">
        <x:v>1935</x:v>
      </x:c>
      <x:c r="C65" s="32" t="n">
        <x:v>1168.8</x:v>
      </x:c>
      <x:c r="D65" s="32" t="n">
        <x:v>135.8</x:v>
      </x:c>
      <x:c r="E65" s="32" t="n">
        <x:v>67.4</x:v>
      </x:c>
      <x:c r="F65" s="32" t="n">
        <x:v>97.2</x:v>
      </x:c>
      <x:c r="G65" s="32" t="n">
        <x:v>38.5</x:v>
      </x:c>
      <x:c r="H65" s="32" t="n">
        <x:v>753.4</x:v>
      </x:c>
      <x:c r="I65" s="32" t="n">
        <x:v>38.2</x:v>
      </x:c>
      <x:c r="J65" s="32" t="n">
        <x:v>38.3</x:v>
      </x:c>
      <x:c r="K65" s="32"/>
      <x:c r="L65" s="2"/>
      <x:c r="M65" s="2"/>
      <x:c r="N65" s="2"/>
    </x:row>
    <x:row r="66" ht="22" customHeight="1">
      <x:c r="A66" s="29" t="str">
        <x:v>legio</x:v>
      </x:c>
      <x:c r="B66" s="19" t="n">
        <x:v>1936</x:v>
      </x:c>
      <x:c r="C66" s="30" t="n">
        <x:v>1293.4</x:v>
      </x:c>
      <x:c r="D66" s="30" t="n">
        <x:v>160.8</x:v>
      </x:c>
      <x:c r="E66" s="30" t="n">
        <x:v>71.1</x:v>
      </x:c>
      <x:c r="F66" s="30" t="n">
        <x:v>104.9</x:v>
      </x:c>
      <x:c r="G66" s="30" t="n">
        <x:v>40.6</x:v>
      </x:c>
      <x:c r="H66" s="30" t="n">
        <x:v>838.3</x:v>
      </x:c>
      <x:c r="I66" s="30" t="n">
        <x:v>37.5</x:v>
      </x:c>
      <x:c r="J66" s="30" t="n">
        <x:v>40.2</x:v>
      </x:c>
      <x:c r="K66" s="30"/>
      <x:c r="L66" s="2"/>
      <x:c r="M66" s="2"/>
      <x:c r="N66" s="2"/>
    </x:row>
    <x:row r="67" ht="22" customHeight="1">
      <x:c r="A67" s="31" t="str">
        <x:v>legio</x:v>
      </x:c>
      <x:c r="B67" s="22" t="n">
        <x:v>1937</x:v>
      </x:c>
      <x:c r="C67" s="32" t="n">
        <x:v>1295.3</x:v>
      </x:c>
      <x:c r="D67" s="32" t="n">
        <x:v>141.8</x:v>
      </x:c>
      <x:c r="E67" s="32" t="n">
        <x:v>62.9</x:v>
      </x:c>
      <x:c r="F67" s="32" t="n">
        <x:v>95.8</x:v>
      </x:c>
      <x:c r="G67" s="32" t="n">
        <x:v>41</x:v>
      </x:c>
      <x:c r="H67" s="32" t="n">
        <x:v>874.1</x:v>
      </x:c>
      <x:c r="I67" s="32" t="n">
        <x:v>37.6</x:v>
      </x:c>
      <x:c r="J67" s="32" t="n">
        <x:v>42.1</x:v>
      </x:c>
      <x:c r="K67" s="32"/>
      <x:c r="L67" s="2"/>
      <x:c r="M67" s="2"/>
      <x:c r="N67" s="2"/>
    </x:row>
    <x:row r="68" ht="22" customHeight="1">
      <x:c r="A68" s="29" t="str">
        <x:v>deutagr</x:v>
      </x:c>
      <x:c r="B68" s="19" t="n">
        <x:v>1933</x:v>
      </x:c>
      <x:c r="C68" s="30" t="n">
        <x:v>502.2</x:v>
      </x:c>
      <x:c r="D68" s="30" t="n">
        <x:v>26.8</x:v>
      </x:c>
      <x:c r="E68" s="30" t="n">
        <x:v>34.3</x:v>
      </x:c>
      <x:c r="F68" s="30" t="n">
        <x:v>86.1</x:v>
      </x:c>
      <x:c r="G68" s="30" t="n">
        <x:v>3.5</x:v>
      </x:c>
      <x:c r="H68" s="30" t="n">
        <x:v>325.9</x:v>
      </x:c>
      <x:c r="I68" s="30" t="n">
        <x:v>18.9</x:v>
      </x:c>
      <x:c r="J68" s="30" t="n">
        <x:v>6.7</x:v>
      </x:c>
      <x:c r="K68" s="30"/>
      <x:c r="L68" s="2"/>
      <x:c r="M68" s="2"/>
      <x:c r="N68" s="2"/>
    </x:row>
    <x:row r="69" ht="22" customHeight="1">
      <x:c r="A69" s="31" t="str">
        <x:v>deutagr</x:v>
      </x:c>
      <x:c r="B69" s="22" t="n">
        <x:v>1934</x:v>
      </x:c>
      <x:c r="C69" s="32" t="n">
        <x:v>487.4</x:v>
      </x:c>
      <x:c r="D69" s="32" t="n">
        <x:v>36.1</x:v>
      </x:c>
      <x:c r="E69" s="32" t="n">
        <x:v>18.5</x:v>
      </x:c>
      <x:c r="F69" s="32" t="n">
        <x:v>86.1</x:v>
      </x:c>
      <x:c r="G69" s="32" t="n">
        <x:v>3.5</x:v>
      </x:c>
      <x:c r="H69" s="32" t="n">
        <x:v>318.1</x:v>
      </x:c>
      <x:c r="I69" s="32" t="n">
        <x:v>16.7</x:v>
      </x:c>
      <x:c r="J69" s="32" t="n">
        <x:v>8.4</x:v>
      </x:c>
      <x:c r="K69" s="32"/>
      <x:c r="L69" s="2"/>
      <x:c r="M69" s="2"/>
      <x:c r="N69" s="2"/>
    </x:row>
    <x:row r="70" ht="22" customHeight="1">
      <x:c r="A70" s="29" t="str">
        <x:v>deutagr</x:v>
      </x:c>
      <x:c r="B70" s="19" t="n">
        <x:v>1935</x:v>
      </x:c>
      <x:c r="C70" s="30" t="n">
        <x:v>537.7</x:v>
      </x:c>
      <x:c r="D70" s="30" t="n">
        <x:v>41.5</x:v>
      </x:c>
      <x:c r="E70" s="30" t="n">
        <x:v>27</x:v>
      </x:c>
      <x:c r="F70" s="30" t="n">
        <x:v>108</x:v>
      </x:c>
      <x:c r="G70" s="30" t="n">
        <x:v>4.1</x:v>
      </x:c>
      <x:c r="H70" s="30" t="n">
        <x:v>333.1</x:v>
      </x:c>
      <x:c r="I70" s="30" t="n">
        <x:v>19</x:v>
      </x:c>
      <x:c r="J70" s="30" t="n">
        <x:v>5</x:v>
      </x:c>
      <x:c r="K70" s="30"/>
      <x:c r="L70" s="2"/>
      <x:c r="M70" s="2"/>
      <x:c r="N70" s="2"/>
    </x:row>
    <x:row r="71" ht="22" customHeight="1">
      <x:c r="A71" s="31" t="str">
        <x:v>deutagr</x:v>
      </x:c>
      <x:c r="B71" s="22" t="n">
        <x:v>1936</x:v>
      </x:c>
      <x:c r="C71" s="32" t="n">
        <x:v>575.3</x:v>
      </x:c>
      <x:c r="D71" s="32" t="n">
        <x:v>48.4</x:v>
      </x:c>
      <x:c r="E71" s="32" t="n">
        <x:v>35.2</x:v>
      </x:c>
      <x:c r="F71" s="32" t="n">
        <x:v>102.6</x:v>
      </x:c>
      <x:c r="G71" s="32" t="n">
        <x:v>5</x:v>
      </x:c>
      <x:c r="H71" s="32" t="n">
        <x:v>357.2</x:v>
      </x:c>
      <x:c r="I71" s="32" t="n">
        <x:v>20.2</x:v>
      </x:c>
      <x:c r="J71" s="32" t="n">
        <x:v>6.7</x:v>
      </x:c>
      <x:c r="K71" s="32"/>
      <x:c r="L71" s="2"/>
      <x:c r="M71" s="2"/>
      <x:c r="N71" s="2"/>
    </x:row>
    <x:row r="72" ht="22" customHeight="1">
      <x:c r="A72" s="29" t="str">
        <x:v>deutagr</x:v>
      </x:c>
      <x:c r="B72" s="19" t="n">
        <x:v>1937</x:v>
      </x:c>
      <x:c r="C72" s="30" t="n">
        <x:v>620.6</x:v>
      </x:c>
      <x:c r="D72" s="30" t="n">
        <x:v>84.2</x:v>
      </x:c>
      <x:c r="E72" s="30" t="n">
        <x:v>35.2</x:v>
      </x:c>
      <x:c r="F72" s="30" t="n">
        <x:v>114.9</x:v>
      </x:c>
      <x:c r="G72" s="30" t="n">
        <x:v>5.2</x:v>
      </x:c>
      <x:c r="H72" s="30" t="n">
        <x:v>353.3</x:v>
      </x:c>
      <x:c r="I72" s="30" t="n">
        <x:v>20.2</x:v>
      </x:c>
      <x:c r="J72" s="30" t="n">
        <x:v>7.6</x:v>
      </x:c>
      <x:c r="K72" s="30"/>
      <x:c r="L72" s="2"/>
      <x:c r="M72" s="2"/>
      <x:c r="N72" s="2"/>
    </x:row>
    <x:row r="73" ht="22" customHeight="1">
      <x:c r="A73" s="31" t="str">
        <x:v>vseobdruz</x:v>
      </x:c>
      <x:c r="B73" s="22" t="n">
        <x:v>1933</x:v>
      </x:c>
      <x:c r="C73" s="32" t="n">
        <x:v>171.114</x:v>
      </x:c>
      <x:c r="D73" s="32" t="n">
        <x:v>32.69</x:v>
      </x:c>
      <x:c r="E73" s="32" t="n">
        <x:v>1.846</x:v>
      </x:c>
      <x:c r="F73" s="32" t="n">
        <x:v>24.048</x:v>
      </x:c>
      <x:c r="G73" s="32"/>
      <x:c r="H73" s="32" t="n">
        <x:v>108.293</x:v>
      </x:c>
      <x:c r="I73" s="32" t="n">
        <x:v>3.126</x:v>
      </x:c>
      <x:c r="J73" s="32" t="n">
        <x:v>1.111</x:v>
      </x:c>
      <x:c r="K73" s="32"/>
      <x:c r="L73" s="2"/>
      <x:c r="M73" s="2"/>
      <x:c r="N73" s="2"/>
    </x:row>
    <x:row r="74" ht="22" customHeight="1">
      <x:c r="A74" s="29" t="str">
        <x:v>vseobdruz</x:v>
      </x:c>
      <x:c r="B74" s="19" t="n">
        <x:v>1934</x:v>
      </x:c>
      <x:c r="C74" s="30" t="n">
        <x:v>183.322</x:v>
      </x:c>
      <x:c r="D74" s="30" t="n">
        <x:v>47.497</x:v>
      </x:c>
      <x:c r="E74" s="30" t="n">
        <x:v>4.274</x:v>
      </x:c>
      <x:c r="F74" s="30" t="n">
        <x:v>26.313</x:v>
      </x:c>
      <x:c r="G74" s="30"/>
      <x:c r="H74" s="30" t="n">
        <x:v>100.82</x:v>
      </x:c>
      <x:c r="I74" s="30" t="n">
        <x:v>3.051</x:v>
      </x:c>
      <x:c r="J74" s="30" t="n">
        <x:v>1.367</x:v>
      </x:c>
      <x:c r="K74" s="30"/>
      <x:c r="L74" s="2"/>
      <x:c r="M74" s="2"/>
      <x:c r="N74" s="2"/>
    </x:row>
    <x:row r="75" ht="22" customHeight="1">
      <x:c r="A75" s="31" t="str">
        <x:v>vseobdruz</x:v>
      </x:c>
      <x:c r="B75" s="22" t="n">
        <x:v>1935</x:v>
      </x:c>
      <x:c r="C75" s="32" t="n">
        <x:v>209.178</x:v>
      </x:c>
      <x:c r="D75" s="32" t="n">
        <x:v>61.884</x:v>
      </x:c>
      <x:c r="E75" s="32" t="n">
        <x:v>21.789</x:v>
      </x:c>
      <x:c r="F75" s="32" t="n">
        <x:v>29.365</x:v>
      </x:c>
      <x:c r="G75" s="32"/>
      <x:c r="H75" s="32" t="n">
        <x:v>92.565</x:v>
      </x:c>
      <x:c r="I75" s="32" t="n">
        <x:v>2.976</x:v>
      </x:c>
      <x:c r="J75" s="32" t="n">
        <x:v>0.599</x:v>
      </x:c>
      <x:c r="K75" s="32"/>
      <x:c r="L75" s="2"/>
      <x:c r="M75" s="2"/>
      <x:c r="N75" s="2"/>
    </x:row>
    <x:row r="76" ht="22" customHeight="1">
      <x:c r="A76" s="29" t="str">
        <x:v>vseobdruz</x:v>
      </x:c>
      <x:c r="B76" s="19" t="n">
        <x:v>1936</x:v>
      </x:c>
      <x:c r="C76" s="30" t="n">
        <x:v>215.952</x:v>
      </x:c>
      <x:c r="D76" s="30" t="n">
        <x:v>57.398</x:v>
      </x:c>
      <x:c r="E76" s="30" t="n">
        <x:v>28.818</x:v>
      </x:c>
      <x:c r="F76" s="30" t="n">
        <x:v>35.126</x:v>
      </x:c>
      <x:c r="G76" s="30"/>
      <x:c r="H76" s="30" t="n">
        <x:v>90.589</x:v>
      </x:c>
      <x:c r="I76" s="30" t="n">
        <x:v>2.939</x:v>
      </x:c>
      <x:c r="J76" s="30" t="n">
        <x:v>1.082</x:v>
      </x:c>
      <x:c r="K76" s="30"/>
      <x:c r="L76" s="2"/>
      <x:c r="M76" s="2"/>
      <x:c r="N76" s="2"/>
    </x:row>
    <x:row r="77" ht="22" customHeight="1">
      <x:c r="A77" s="31" t="str">
        <x:v>vseobdruz</x:v>
      </x:c>
      <x:c r="B77" s="22" t="n">
        <x:v>1937</x:v>
      </x:c>
      <x:c r="C77" s="32" t="n">
        <x:v>259.915</x:v>
      </x:c>
      <x:c r="D77" s="32" t="n">
        <x:v>83.18</x:v>
      </x:c>
      <x:c r="E77" s="32" t="n">
        <x:v>10.555</x:v>
      </x:c>
      <x:c r="F77" s="32" t="n">
        <x:v>47.876</x:v>
      </x:c>
      <x:c r="G77" s="32"/>
      <x:c r="H77" s="32" t="n">
        <x:v>114.587</x:v>
      </x:c>
      <x:c r="I77" s="32" t="n">
        <x:v>2.884</x:v>
      </x:c>
      <x:c r="J77" s="32" t="n">
        <x:v>0.833</x:v>
      </x:c>
      <x:c r="K77" s="3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324aeecbf0214e7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5600004196167" hidden="0" customWidth="1"/>
    <x:col min="2" max="2" width="8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Bank funding and published capital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2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2"/>
      <x:c r="N3" s="2"/>
    </x:row>
    <x:row r="4" ht="20" customHeight="1">
      <x:c r="A4" s="6" t="str">
        <x:v>Source deposits include mortgage borrowing at Legiobanka. General creditors are not exclusively interbank.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Bank ID</x:v>
      </x:c>
      <x:c r="B7" s="16" t="str">
        <x:v>Year</x:v>
      </x:c>
      <x:c r="C7" s="16" t="str">
        <x:v>Paid share capital</x:v>
      </x:c>
      <x:c r="D7" s="16" t="str">
        <x:v>Published reserves</x:v>
      </x:c>
      <x:c r="E7" s="16" t="str">
        <x:v>Other funds</x:v>
      </x:c>
      <x:c r="F7" s="16" t="str">
        <x:v>Source deposits</x:v>
      </x:c>
      <x:c r="G7" s="16" t="str">
        <x:v>General creditors</x:v>
      </x:c>
      <x:c r="H7" s="16" t="str">
        <x:v>Other liabilities</x:v>
      </x:c>
      <x:c r="I7" s="16" t="str">
        <x:v>Profit brought forward</x:v>
      </x:c>
      <x:c r="J7" s="16" t="str">
        <x:v>Reported net profit</x:v>
      </x:c>
      <x:c r="K7" s="16" t="str">
        <x:v>Bonds issued</x:v>
      </x:c>
      <x:c r="L7" s="17" t="str">
        <x:v>Stabilisation fund</x:v>
      </x:c>
      <x:c r="M7" s="2"/>
      <x:c r="N7" s="2"/>
    </x:row>
    <x:row r="8" ht="22" customHeight="1">
      <x:c r="A8" s="29" t="str">
        <x:v>agrarni</x:v>
      </x:c>
      <x:c r="B8" s="19" t="n">
        <x:v>1933</x:v>
      </x:c>
      <x:c r="C8" s="30" t="n">
        <x:v>60</x:v>
      </x:c>
      <x:c r="D8" s="30" t="n">
        <x:v>33.5</x:v>
      </x:c>
      <x:c r="E8" s="30" t="n">
        <x:v>5</x:v>
      </x:c>
      <x:c r="F8" s="30" t="n">
        <x:v>171.3</x:v>
      </x:c>
      <x:c r="G8" s="30" t="n">
        <x:v>436.2</x:v>
      </x:c>
      <x:c r="H8" s="30" t="n">
        <x:v>10.8</x:v>
      </x:c>
      <x:c r="I8" s="30" t="n">
        <x:v>1.3</x:v>
      </x:c>
      <x:c r="J8" s="30" t="n">
        <x:v>3.2</x:v>
      </x:c>
      <x:c r="K8" s="30"/>
      <x:c r="L8" s="21"/>
      <x:c r="M8" s="2"/>
      <x:c r="N8" s="2"/>
    </x:row>
    <x:row r="9" ht="22" customHeight="1">
      <x:c r="A9" s="31" t="str">
        <x:v>agrarni</x:v>
      </x:c>
      <x:c r="B9" s="22" t="n">
        <x:v>1934</x:v>
      </x:c>
      <x:c r="C9" s="32" t="n">
        <x:v>60</x:v>
      </x:c>
      <x:c r="D9" s="32" t="n">
        <x:v>34</x:v>
      </x:c>
      <x:c r="E9" s="32" t="n">
        <x:v>5</x:v>
      </x:c>
      <x:c r="F9" s="32" t="n">
        <x:v>170.7</x:v>
      </x:c>
      <x:c r="G9" s="32" t="n">
        <x:v>504.2</x:v>
      </x:c>
      <x:c r="H9" s="32" t="n">
        <x:v>5.7</x:v>
      </x:c>
      <x:c r="I9" s="32" t="n">
        <x:v>1</x:v>
      </x:c>
      <x:c r="J9" s="32" t="n">
        <x:v>3.5</x:v>
      </x:c>
      <x:c r="K9" s="32"/>
      <x:c r="L9" s="23"/>
      <x:c r="M9" s="2"/>
      <x:c r="N9" s="2"/>
    </x:row>
    <x:row r="10" ht="22" customHeight="1">
      <x:c r="A10" s="29" t="str">
        <x:v>agrarni</x:v>
      </x:c>
      <x:c r="B10" s="19" t="n">
        <x:v>1935</x:v>
      </x:c>
      <x:c r="C10" s="30" t="n">
        <x:v>60</x:v>
      </x:c>
      <x:c r="D10" s="30" t="n">
        <x:v>34.5</x:v>
      </x:c>
      <x:c r="E10" s="30" t="n">
        <x:v>5</x:v>
      </x:c>
      <x:c r="F10" s="30" t="n">
        <x:v>182.7</x:v>
      </x:c>
      <x:c r="G10" s="30" t="n">
        <x:v>700.8</x:v>
      </x:c>
      <x:c r="H10" s="30" t="n">
        <x:v>15</x:v>
      </x:c>
      <x:c r="I10" s="30" t="n">
        <x:v>1</x:v>
      </x:c>
      <x:c r="J10" s="30" t="n">
        <x:v>3.8</x:v>
      </x:c>
      <x:c r="K10" s="30"/>
      <x:c r="L10" s="21"/>
      <x:c r="M10" s="2"/>
      <x:c r="N10" s="2"/>
    </x:row>
    <x:row r="11" ht="22" customHeight="1">
      <x:c r="A11" s="31" t="str">
        <x:v>agrarni</x:v>
      </x:c>
      <x:c r="B11" s="22" t="n">
        <x:v>1936</x:v>
      </x:c>
      <x:c r="C11" s="32" t="n">
        <x:v>60</x:v>
      </x:c>
      <x:c r="D11" s="32" t="n">
        <x:v>35</x:v>
      </x:c>
      <x:c r="E11" s="32" t="n">
        <x:v>5.4</x:v>
      </x:c>
      <x:c r="F11" s="32" t="n">
        <x:v>192.9</x:v>
      </x:c>
      <x:c r="G11" s="32" t="n">
        <x:v>652.4</x:v>
      </x:c>
      <x:c r="H11" s="32" t="n">
        <x:v>22.2</x:v>
      </x:c>
      <x:c r="I11" s="32" t="n">
        <x:v>1</x:v>
      </x:c>
      <x:c r="J11" s="32" t="n">
        <x:v>4</x:v>
      </x:c>
      <x:c r="K11" s="32"/>
      <x:c r="L11" s="23"/>
      <x:c r="M11" s="2"/>
      <x:c r="N11" s="2"/>
    </x:row>
    <x:row r="12" ht="22" customHeight="1">
      <x:c r="A12" s="29" t="str">
        <x:v>agrarni</x:v>
      </x:c>
      <x:c r="B12" s="19" t="n">
        <x:v>1937</x:v>
      </x:c>
      <x:c r="C12" s="30" t="n">
        <x:v>60</x:v>
      </x:c>
      <x:c r="D12" s="30" t="n">
        <x:v>35.5</x:v>
      </x:c>
      <x:c r="E12" s="30" t="n">
        <x:v>5.8</x:v>
      </x:c>
      <x:c r="F12" s="30" t="n">
        <x:v>206.8</x:v>
      </x:c>
      <x:c r="G12" s="30" t="n">
        <x:v>730.7</x:v>
      </x:c>
      <x:c r="H12" s="30" t="n">
        <x:v>26.9</x:v>
      </x:c>
      <x:c r="I12" s="30" t="n">
        <x:v>1</x:v>
      </x:c>
      <x:c r="J12" s="30" t="n">
        <x:v>4.1</x:v>
      </x:c>
      <x:c r="K12" s="30"/>
      <x:c r="L12" s="21"/>
      <x:c r="M12" s="2"/>
      <x:c r="N12" s="2"/>
    </x:row>
    <x:row r="13" ht="22" customHeight="1">
      <x:c r="A13" s="31" t="str">
        <x:v>lander</x:v>
      </x:c>
      <x:c r="B13" s="22" t="n">
        <x:v>1933</x:v>
      </x:c>
      <x:c r="C13" s="32" t="n">
        <x:v>120</x:v>
      </x:c>
      <x:c r="D13" s="32" t="n">
        <x:v>122.2</x:v>
      </x:c>
      <x:c r="E13" s="32" t="n">
        <x:v>32.5</x:v>
      </x:c>
      <x:c r="F13" s="32" t="n">
        <x:v>535.4</x:v>
      </x:c>
      <x:c r="G13" s="32" t="n">
        <x:v>449.9</x:v>
      </x:c>
      <x:c r="H13" s="32" t="n">
        <x:v>39</x:v>
      </x:c>
      <x:c r="I13" s="32" t="n">
        <x:v>4.9</x:v>
      </x:c>
      <x:c r="J13" s="32" t="n">
        <x:v>1.3</x:v>
      </x:c>
      <x:c r="K13" s="32"/>
      <x:c r="L13" s="23"/>
      <x:c r="M13" s="2"/>
      <x:c r="N13" s="2"/>
    </x:row>
    <x:row r="14" ht="22" customHeight="1">
      <x:c r="A14" s="29" t="str">
        <x:v>lander</x:v>
      </x:c>
      <x:c r="B14" s="19" t="n">
        <x:v>1934</x:v>
      </x:c>
      <x:c r="C14" s="30" t="n">
        <x:v>120</x:v>
      </x:c>
      <x:c r="D14" s="30" t="n">
        <x:v>123.2</x:v>
      </x:c>
      <x:c r="E14" s="30" t="n">
        <x:v>33.7</x:v>
      </x:c>
      <x:c r="F14" s="30" t="n">
        <x:v>540.5</x:v>
      </x:c>
      <x:c r="G14" s="30" t="n">
        <x:v>428</x:v>
      </x:c>
      <x:c r="H14" s="30" t="n">
        <x:v>29.5</x:v>
      </x:c>
      <x:c r="I14" s="30" t="n">
        <x:v>5.3</x:v>
      </x:c>
      <x:c r="J14" s="30" t="n">
        <x:v>1.2</x:v>
      </x:c>
      <x:c r="K14" s="30"/>
      <x:c r="L14" s="21"/>
      <x:c r="M14" s="2"/>
      <x:c r="N14" s="2"/>
    </x:row>
    <x:row r="15" ht="22" customHeight="1">
      <x:c r="A15" s="31" t="str">
        <x:v>lander</x:v>
      </x:c>
      <x:c r="B15" s="22" t="n">
        <x:v>1935</x:v>
      </x:c>
      <x:c r="C15" s="32" t="n">
        <x:v>120</x:v>
      </x:c>
      <x:c r="D15" s="32" t="n">
        <x:v>124.2</x:v>
      </x:c>
      <x:c r="E15" s="32" t="n">
        <x:v>34.4</x:v>
      </x:c>
      <x:c r="F15" s="32" t="n">
        <x:v>523.9</x:v>
      </x:c>
      <x:c r="G15" s="32" t="n">
        <x:v>459.1</x:v>
      </x:c>
      <x:c r="H15" s="32" t="n">
        <x:v>39.8</x:v>
      </x:c>
      <x:c r="I15" s="32" t="n">
        <x:v>5.5</x:v>
      </x:c>
      <x:c r="J15" s="32" t="n">
        <x:v>1.4</x:v>
      </x:c>
      <x:c r="K15" s="32"/>
      <x:c r="L15" s="23"/>
      <x:c r="M15" s="2"/>
      <x:c r="N15" s="2"/>
    </x:row>
    <x:row r="16" ht="22" customHeight="1">
      <x:c r="A16" s="29" t="str">
        <x:v>lander</x:v>
      </x:c>
      <x:c r="B16" s="19" t="n">
        <x:v>1936</x:v>
      </x:c>
      <x:c r="C16" s="30" t="n">
        <x:v>120</x:v>
      </x:c>
      <x:c r="D16" s="30" t="n">
        <x:v>124.3</x:v>
      </x:c>
      <x:c r="E16" s="30" t="n">
        <x:v>34.4</x:v>
      </x:c>
      <x:c r="F16" s="30" t="n">
        <x:v>503.5</x:v>
      </x:c>
      <x:c r="G16" s="30" t="n">
        <x:v>481</x:v>
      </x:c>
      <x:c r="H16" s="30" t="n">
        <x:v>54</x:v>
      </x:c>
      <x:c r="I16" s="30" t="n">
        <x:v>6.8</x:v>
      </x:c>
      <x:c r="J16" s="30" t="n">
        <x:v>2</x:v>
      </x:c>
      <x:c r="K16" s="30"/>
      <x:c r="L16" s="21"/>
      <x:c r="M16" s="2"/>
      <x:c r="N16" s="2"/>
    </x:row>
    <x:row r="17" ht="22" customHeight="1">
      <x:c r="A17" s="31" t="str">
        <x:v>lander</x:v>
      </x:c>
      <x:c r="B17" s="22" t="n">
        <x:v>1937</x:v>
      </x:c>
      <x:c r="C17" s="32" t="n">
        <x:v>120</x:v>
      </x:c>
      <x:c r="D17" s="32" t="n">
        <x:v>78.4</x:v>
      </x:c>
      <x:c r="E17" s="32" t="n">
        <x:v>34.8</x:v>
      </x:c>
      <x:c r="F17" s="32" t="n">
        <x:v>503.7</x:v>
      </x:c>
      <x:c r="G17" s="32" t="n">
        <x:v>490.7</x:v>
      </x:c>
      <x:c r="H17" s="32" t="n">
        <x:v>90.2</x:v>
      </x:c>
      <x:c r="I17" s="32" t="n">
        <x:v>8.2</x:v>
      </x:c>
      <x:c r="J17" s="32" t="n">
        <x:v>4.9</x:v>
      </x:c>
      <x:c r="K17" s="32"/>
      <x:c r="L17" s="23"/>
      <x:c r="M17" s="2"/>
      <x:c r="N17" s="2"/>
    </x:row>
    <x:row r="18" ht="22" customHeight="1">
      <x:c r="A18" s="29" t="str">
        <x:v>ceska</x:v>
      </x:c>
      <x:c r="B18" s="19" t="n">
        <x:v>1933</x:v>
      </x:c>
      <x:c r="C18" s="30" t="n">
        <x:v>50</x:v>
      </x:c>
      <x:c r="D18" s="30" t="n">
        <x:v>9.9</x:v>
      </x:c>
      <x:c r="E18" s="30" t="n">
        <x:v>3.5</x:v>
      </x:c>
      <x:c r="F18" s="30" t="n">
        <x:v>191.7</x:v>
      </x:c>
      <x:c r="G18" s="30" t="n">
        <x:v>240.3</x:v>
      </x:c>
      <x:c r="H18" s="30" t="n">
        <x:v>5.3</x:v>
      </x:c>
      <x:c r="I18" s="30" t="n">
        <x:v>0.1</x:v>
      </x:c>
      <x:c r="J18" s="30" t="n">
        <x:v>1.6</x:v>
      </x:c>
      <x:c r="K18" s="30"/>
      <x:c r="L18" s="21"/>
      <x:c r="M18" s="2"/>
      <x:c r="N18" s="2"/>
    </x:row>
    <x:row r="19" ht="22" customHeight="1">
      <x:c r="A19" s="31" t="str">
        <x:v>ceska</x:v>
      </x:c>
      <x:c r="B19" s="22" t="n">
        <x:v>1934</x:v>
      </x:c>
      <x:c r="C19" s="32" t="n">
        <x:v>50</x:v>
      </x:c>
      <x:c r="D19" s="32" t="n">
        <x:v>10</x:v>
      </x:c>
      <x:c r="E19" s="32" t="n">
        <x:v>3.5</x:v>
      </x:c>
      <x:c r="F19" s="32" t="n">
        <x:v>191.3</x:v>
      </x:c>
      <x:c r="G19" s="32" t="n">
        <x:v>243.1</x:v>
      </x:c>
      <x:c r="H19" s="32" t="n">
        <x:v>5</x:v>
      </x:c>
      <x:c r="I19" s="32" t="n">
        <x:v>0.1</x:v>
      </x:c>
      <x:c r="J19" s="32" t="n">
        <x:v>1.4</x:v>
      </x:c>
      <x:c r="K19" s="32"/>
      <x:c r="L19" s="23"/>
      <x:c r="M19" s="2"/>
      <x:c r="N19" s="2"/>
    </x:row>
    <x:row r="20" ht="22" customHeight="1">
      <x:c r="A20" s="29" t="str">
        <x:v>ceska</x:v>
      </x:c>
      <x:c r="B20" s="19" t="n">
        <x:v>1935</x:v>
      </x:c>
      <x:c r="C20" s="30" t="n">
        <x:v>50</x:v>
      </x:c>
      <x:c r="D20" s="30" t="n">
        <x:v>9.4</x:v>
      </x:c>
      <x:c r="E20" s="30" t="n">
        <x:v>3.6</x:v>
      </x:c>
      <x:c r="F20" s="30" t="n">
        <x:v>201.9</x:v>
      </x:c>
      <x:c r="G20" s="30" t="n">
        <x:v>298.9</x:v>
      </x:c>
      <x:c r="H20" s="30" t="n">
        <x:v>4.7</x:v>
      </x:c>
      <x:c r="I20" s="30" t="n">
        <x:v>0.2</x:v>
      </x:c>
      <x:c r="J20" s="30" t="n">
        <x:v>2.1</x:v>
      </x:c>
      <x:c r="K20" s="30"/>
      <x:c r="L20" s="21"/>
      <x:c r="M20" s="2"/>
      <x:c r="N20" s="2"/>
    </x:row>
    <x:row r="21" ht="22" customHeight="1">
      <x:c r="A21" s="31" t="str">
        <x:v>ceska</x:v>
      </x:c>
      <x:c r="B21" s="22" t="n">
        <x:v>1936</x:v>
      </x:c>
      <x:c r="C21" s="32" t="n">
        <x:v>50</x:v>
      </x:c>
      <x:c r="D21" s="32" t="n">
        <x:v>10.1</x:v>
      </x:c>
      <x:c r="E21" s="32" t="n">
        <x:v>3.8</x:v>
      </x:c>
      <x:c r="F21" s="32" t="n">
        <x:v>207</x:v>
      </x:c>
      <x:c r="G21" s="32" t="n">
        <x:v>343.1</x:v>
      </x:c>
      <x:c r="H21" s="32" t="n">
        <x:v>8.9</x:v>
      </x:c>
      <x:c r="I21" s="32" t="n">
        <x:v>0.1</x:v>
      </x:c>
      <x:c r="J21" s="32" t="n">
        <x:v>1.9</x:v>
      </x:c>
      <x:c r="K21" s="32"/>
      <x:c r="L21" s="23"/>
      <x:c r="M21" s="2"/>
      <x:c r="N21" s="2"/>
    </x:row>
    <x:row r="22" ht="22" customHeight="1">
      <x:c r="A22" s="29" t="str">
        <x:v>ceska</x:v>
      </x:c>
      <x:c r="B22" s="19" t="n">
        <x:v>1937</x:v>
      </x:c>
      <x:c r="C22" s="30" t="n">
        <x:v>50</x:v>
      </x:c>
      <x:c r="D22" s="30" t="n">
        <x:v>10.2</x:v>
      </x:c>
      <x:c r="E22" s="30" t="n">
        <x:v>4.3</x:v>
      </x:c>
      <x:c r="F22" s="30" t="n">
        <x:v>214.4</x:v>
      </x:c>
      <x:c r="G22" s="30" t="n">
        <x:v>317.2</x:v>
      </x:c>
      <x:c r="H22" s="30" t="n">
        <x:v>4.8</x:v>
      </x:c>
      <x:c r="I22" s="30" t="n">
        <x:v>0.1</x:v>
      </x:c>
      <x:c r="J22" s="30" t="n">
        <x:v>2</x:v>
      </x:c>
      <x:c r="K22" s="30"/>
      <x:c r="L22" s="21"/>
      <x:c r="M22" s="2"/>
      <x:c r="N22" s="2"/>
    </x:row>
    <x:row r="23" ht="22" customHeight="1">
      <x:c r="A23" s="31" t="str">
        <x:v>union</x:v>
      </x:c>
      <x:c r="B23" s="22" t="n">
        <x:v>1933</x:v>
      </x:c>
      <x:c r="C23" s="32" t="n">
        <x:v>150</x:v>
      </x:c>
      <x:c r="D23" s="32" t="n">
        <x:v>75</x:v>
      </x:c>
      <x:c r="E23" s="32" t="n">
        <x:v>2</x:v>
      </x:c>
      <x:c r="F23" s="32" t="n">
        <x:v>1254.1</x:v>
      </x:c>
      <x:c r="G23" s="32" t="n">
        <x:v>1018.8</x:v>
      </x:c>
      <x:c r="H23" s="32" t="n">
        <x:v>141</x:v>
      </x:c>
      <x:c r="I23" s="32" t="n">
        <x:v>6.6</x:v>
      </x:c>
      <x:c r="J23" s="32" t="n">
        <x:v>1.4</x:v>
      </x:c>
      <x:c r="K23" s="32"/>
      <x:c r="L23" s="23"/>
      <x:c r="M23" s="2"/>
      <x:c r="N23" s="2"/>
    </x:row>
    <x:row r="24" ht="22" customHeight="1">
      <x:c r="A24" s="29" t="str">
        <x:v>union</x:v>
      </x:c>
      <x:c r="B24" s="19" t="n">
        <x:v>1934</x:v>
      </x:c>
      <x:c r="C24" s="30" t="n">
        <x:v>150</x:v>
      </x:c>
      <x:c r="D24" s="30" t="n">
        <x:v>75</x:v>
      </x:c>
      <x:c r="E24" s="30" t="n">
        <x:v>2</x:v>
      </x:c>
      <x:c r="F24" s="30" t="n">
        <x:v>1254.5</x:v>
      </x:c>
      <x:c r="G24" s="30" t="n">
        <x:v>949.9</x:v>
      </x:c>
      <x:c r="H24" s="30" t="n">
        <x:v>145.9</x:v>
      </x:c>
      <x:c r="I24" s="30" t="n">
        <x:v>8.1</x:v>
      </x:c>
      <x:c r="J24" s="30" t="n">
        <x:v>1.8</x:v>
      </x:c>
      <x:c r="K24" s="30"/>
      <x:c r="L24" s="21"/>
      <x:c r="M24" s="2"/>
      <x:c r="N24" s="2"/>
    </x:row>
    <x:row r="25" ht="22" customHeight="1">
      <x:c r="A25" s="31" t="str">
        <x:v>union</x:v>
      </x:c>
      <x:c r="B25" s="22" t="n">
        <x:v>1935</x:v>
      </x:c>
      <x:c r="C25" s="32" t="n">
        <x:v>150</x:v>
      </x:c>
      <x:c r="D25" s="32" t="n">
        <x:v>75</x:v>
      </x:c>
      <x:c r="E25" s="32" t="n">
        <x:v>2</x:v>
      </x:c>
      <x:c r="F25" s="32" t="n">
        <x:v>1298.9</x:v>
      </x:c>
      <x:c r="G25" s="32" t="n">
        <x:v>1107.1</x:v>
      </x:c>
      <x:c r="H25" s="32" t="n">
        <x:v>86.7</x:v>
      </x:c>
      <x:c r="I25" s="32" t="n">
        <x:v>9.9</x:v>
      </x:c>
      <x:c r="J25" s="32" t="n">
        <x:v>7.2</x:v>
      </x:c>
      <x:c r="K25" s="32"/>
      <x:c r="L25" s="23"/>
      <x:c r="M25" s="2"/>
      <x:c r="N25" s="2"/>
    </x:row>
    <x:row r="26" ht="22" customHeight="1">
      <x:c r="A26" s="29" t="str">
        <x:v>union</x:v>
      </x:c>
      <x:c r="B26" s="19" t="n">
        <x:v>1936</x:v>
      </x:c>
      <x:c r="C26" s="30" t="n">
        <x:v>150</x:v>
      </x:c>
      <x:c r="D26" s="30" t="n">
        <x:v>75</x:v>
      </x:c>
      <x:c r="E26" s="30" t="n">
        <x:v>2</x:v>
      </x:c>
      <x:c r="F26" s="30" t="n">
        <x:v>1314</x:v>
      </x:c>
      <x:c r="G26" s="30" t="n">
        <x:v>1053.5</x:v>
      </x:c>
      <x:c r="H26" s="30" t="n">
        <x:v>113.5</x:v>
      </x:c>
      <x:c r="I26" s="30" t="n">
        <x:v>9.9</x:v>
      </x:c>
      <x:c r="J26" s="30" t="n">
        <x:v>10.7</x:v>
      </x:c>
      <x:c r="K26" s="30"/>
      <x:c r="L26" s="21"/>
      <x:c r="M26" s="2"/>
      <x:c r="N26" s="2"/>
    </x:row>
    <x:row r="27" ht="22" customHeight="1">
      <x:c r="A27" s="31" t="str">
        <x:v>union</x:v>
      </x:c>
      <x:c r="B27" s="22" t="n">
        <x:v>1937</x:v>
      </x:c>
      <x:c r="C27" s="32" t="n">
        <x:v>150</x:v>
      </x:c>
      <x:c r="D27" s="32" t="n">
        <x:v>75</x:v>
      </x:c>
      <x:c r="E27" s="32" t="n">
        <x:v>2</x:v>
      </x:c>
      <x:c r="F27" s="32" t="n">
        <x:v>1348.4</x:v>
      </x:c>
      <x:c r="G27" s="32" t="n">
        <x:v>1264.4</x:v>
      </x:c>
      <x:c r="H27" s="32" t="n">
        <x:v>119.9</x:v>
      </x:c>
      <x:c r="I27" s="32" t="n">
        <x:v>9.9</x:v>
      </x:c>
      <x:c r="J27" s="32" t="n">
        <x:v>8.2</x:v>
      </x:c>
      <x:c r="K27" s="32"/>
      <x:c r="L27" s="23"/>
      <x:c r="M27" s="2"/>
      <x:c r="N27" s="2"/>
    </x:row>
    <x:row r="28" ht="22" customHeight="1">
      <x:c r="A28" s="29" t="str">
        <x:v>escomp</x:v>
      </x:c>
      <x:c r="B28" s="19" t="n">
        <x:v>1933</x:v>
      </x:c>
      <x:c r="C28" s="30" t="n">
        <x:v>170</x:v>
      </x:c>
      <x:c r="D28" s="30" t="n">
        <x:v>114.7</x:v>
      </x:c>
      <x:c r="E28" s="30" t="n">
        <x:v>41.3</x:v>
      </x:c>
      <x:c r="F28" s="30" t="n">
        <x:v>959.9</x:v>
      </x:c>
      <x:c r="G28" s="30" t="n">
        <x:v>1018.8</x:v>
      </x:c>
      <x:c r="H28" s="30" t="n">
        <x:v>88.5</x:v>
      </x:c>
      <x:c r="I28" s="30" t="n">
        <x:v>5.7</x:v>
      </x:c>
      <x:c r="J28" s="30" t="n">
        <x:v>5.6</x:v>
      </x:c>
      <x:c r="K28" s="30"/>
      <x:c r="L28" s="21"/>
      <x:c r="M28" s="2"/>
      <x:c r="N28" s="2"/>
    </x:row>
    <x:row r="29" ht="22" customHeight="1">
      <x:c r="A29" s="31" t="str">
        <x:v>escomp</x:v>
      </x:c>
      <x:c r="B29" s="22" t="n">
        <x:v>1934</x:v>
      </x:c>
      <x:c r="C29" s="32" t="n">
        <x:v>170</x:v>
      </x:c>
      <x:c r="D29" s="32" t="n">
        <x:v>115.2</x:v>
      </x:c>
      <x:c r="E29" s="32" t="n">
        <x:v>41.3</x:v>
      </x:c>
      <x:c r="F29" s="32" t="n">
        <x:v>969.6</x:v>
      </x:c>
      <x:c r="G29" s="32" t="n">
        <x:v>1058.2</x:v>
      </x:c>
      <x:c r="H29" s="32" t="n">
        <x:v>82.8</x:v>
      </x:c>
      <x:c r="I29" s="32" t="n">
        <x:v>5.7</x:v>
      </x:c>
      <x:c r="J29" s="32" t="n">
        <x:v>7.1</x:v>
      </x:c>
      <x:c r="K29" s="32"/>
      <x:c r="L29" s="23"/>
      <x:c r="M29" s="2"/>
      <x:c r="N29" s="2"/>
    </x:row>
    <x:row r="30" ht="22" customHeight="1">
      <x:c r="A30" s="29" t="str">
        <x:v>escomp</x:v>
      </x:c>
      <x:c r="B30" s="19" t="n">
        <x:v>1935</x:v>
      </x:c>
      <x:c r="C30" s="30" t="n">
        <x:v>130</x:v>
      </x:c>
      <x:c r="D30" s="30" t="n">
        <x:v>67.9</x:v>
      </x:c>
      <x:c r="E30" s="30" t="n">
        <x:v>41.3</x:v>
      </x:c>
      <x:c r="F30" s="30" t="n">
        <x:v>965.9</x:v>
      </x:c>
      <x:c r="G30" s="30" t="n">
        <x:v>1051</x:v>
      </x:c>
      <x:c r="H30" s="30" t="n">
        <x:v>85.5</x:v>
      </x:c>
      <x:c r="I30" s="30" t="n">
        <x:v>5.7</x:v>
      </x:c>
      <x:c r="J30" s="30" t="n">
        <x:v>3.2</x:v>
      </x:c>
      <x:c r="K30" s="30"/>
      <x:c r="L30" s="21"/>
      <x:c r="M30" s="2"/>
      <x:c r="N30" s="2"/>
    </x:row>
    <x:row r="31" ht="22" customHeight="1">
      <x:c r="A31" s="31" t="str">
        <x:v>escomp</x:v>
      </x:c>
      <x:c r="B31" s="22" t="n">
        <x:v>1936</x:v>
      </x:c>
      <x:c r="C31" s="32" t="n">
        <x:v>130</x:v>
      </x:c>
      <x:c r="D31" s="32" t="n">
        <x:v>68.3</x:v>
      </x:c>
      <x:c r="E31" s="32" t="n">
        <x:v>43.8</x:v>
      </x:c>
      <x:c r="F31" s="32" t="n">
        <x:v>968.3</x:v>
      </x:c>
      <x:c r="G31" s="32" t="n">
        <x:v>1175.2</x:v>
      </x:c>
      <x:c r="H31" s="32" t="n">
        <x:v>99.2</x:v>
      </x:c>
      <x:c r="I31" s="32" t="n">
        <x:v>6.1</x:v>
      </x:c>
      <x:c r="J31" s="32" t="n">
        <x:v>3.6</x:v>
      </x:c>
      <x:c r="K31" s="32"/>
      <x:c r="L31" s="23"/>
      <x:c r="M31" s="2"/>
      <x:c r="N31" s="2"/>
    </x:row>
    <x:row r="32" ht="22" customHeight="1">
      <x:c r="A32" s="29" t="str">
        <x:v>escomp</x:v>
      </x:c>
      <x:c r="B32" s="19" t="n">
        <x:v>1937</x:v>
      </x:c>
      <x:c r="C32" s="30" t="n">
        <x:v>130</x:v>
      </x:c>
      <x:c r="D32" s="30" t="n">
        <x:v>68.6</x:v>
      </x:c>
      <x:c r="E32" s="30" t="n">
        <x:v>46.3</x:v>
      </x:c>
      <x:c r="F32" s="30" t="n">
        <x:v>993.6</x:v>
      </x:c>
      <x:c r="G32" s="30" t="n">
        <x:v>1304.8</x:v>
      </x:c>
      <x:c r="H32" s="30" t="n">
        <x:v>75.3</x:v>
      </x:c>
      <x:c r="I32" s="30" t="n">
        <x:v>6.8</x:v>
      </x:c>
      <x:c r="J32" s="30" t="n">
        <x:v>7.9</x:v>
      </x:c>
      <x:c r="K32" s="30"/>
      <x:c r="L32" s="21"/>
      <x:c r="M32" s="2"/>
      <x:c r="N32" s="2"/>
    </x:row>
    <x:row r="33" ht="22" customHeight="1">
      <x:c r="A33" s="31" t="str">
        <x:v>prumyslova</x:v>
      </x:c>
      <x:c r="B33" s="22" t="n">
        <x:v>1933</x:v>
      </x:c>
      <x:c r="C33" s="32" t="n">
        <x:v>100.1</x:v>
      </x:c>
      <x:c r="D33" s="32" t="n">
        <x:v>15.3</x:v>
      </x:c>
      <x:c r="E33" s="32" t="n">
        <x:v>21.5</x:v>
      </x:c>
      <x:c r="F33" s="32" t="n">
        <x:v>631.5</x:v>
      </x:c>
      <x:c r="G33" s="32" t="n">
        <x:v>873.7</x:v>
      </x:c>
      <x:c r="H33" s="32" t="n">
        <x:v>39.4</x:v>
      </x:c>
      <x:c r="I33" s="32"/>
      <x:c r="J33" s="32" t="n">
        <x:v>0.7</x:v>
      </x:c>
      <x:c r="K33" s="32" t="n">
        <x:v>13.3</x:v>
      </x:c>
      <x:c r="L33" s="23"/>
      <x:c r="M33" s="2"/>
      <x:c r="N33" s="2"/>
    </x:row>
    <x:row r="34" ht="22" customHeight="1">
      <x:c r="A34" s="29" t="str">
        <x:v>prumyslova</x:v>
      </x:c>
      <x:c r="B34" s="19" t="n">
        <x:v>1934</x:v>
      </x:c>
      <x:c r="C34" s="30" t="n">
        <x:v>100.1</x:v>
      </x:c>
      <x:c r="D34" s="30" t="n">
        <x:v>15.4</x:v>
      </x:c>
      <x:c r="E34" s="30" t="n">
        <x:v>21.5</x:v>
      </x:c>
      <x:c r="F34" s="30" t="n">
        <x:v>626</x:v>
      </x:c>
      <x:c r="G34" s="30" t="n">
        <x:v>829.4</x:v>
      </x:c>
      <x:c r="H34" s="30" t="n">
        <x:v>40.4</x:v>
      </x:c>
      <x:c r="I34" s="30"/>
      <x:c r="J34" s="30" t="n">
        <x:v>1.1</x:v>
      </x:c>
      <x:c r="K34" s="30" t="n">
        <x:v>12.7</x:v>
      </x:c>
      <x:c r="L34" s="21"/>
      <x:c r="M34" s="2"/>
      <x:c r="N34" s="2"/>
    </x:row>
    <x:row r="35" ht="22" customHeight="1">
      <x:c r="A35" s="31" t="str">
        <x:v>prumyslova</x:v>
      </x:c>
      <x:c r="B35" s="22" t="n">
        <x:v>1935</x:v>
      </x:c>
      <x:c r="C35" s="32" t="n">
        <x:v>100.1</x:v>
      </x:c>
      <x:c r="D35" s="32" t="n">
        <x:v>15.4</x:v>
      </x:c>
      <x:c r="E35" s="32" t="n">
        <x:v>21.5</x:v>
      </x:c>
      <x:c r="F35" s="32" t="n">
        <x:v>668.7</x:v>
      </x:c>
      <x:c r="G35" s="32" t="n">
        <x:v>846.8</x:v>
      </x:c>
      <x:c r="H35" s="32" t="n">
        <x:v>28.3</x:v>
      </x:c>
      <x:c r="I35" s="32"/>
      <x:c r="J35" s="32" t="n">
        <x:v>1.2</x:v>
      </x:c>
      <x:c r="K35" s="32" t="n">
        <x:v>12.5</x:v>
      </x:c>
      <x:c r="L35" s="23"/>
      <x:c r="M35" s="2"/>
      <x:c r="N35" s="2"/>
    </x:row>
    <x:row r="36" ht="22" customHeight="1">
      <x:c r="A36" s="29" t="str">
        <x:v>prumyslova</x:v>
      </x:c>
      <x:c r="B36" s="19" t="n">
        <x:v>1936</x:v>
      </x:c>
      <x:c r="C36" s="30" t="n">
        <x:v>100.1</x:v>
      </x:c>
      <x:c r="D36" s="30" t="n">
        <x:v>15.6</x:v>
      </x:c>
      <x:c r="E36" s="30" t="n">
        <x:v>21.5</x:v>
      </x:c>
      <x:c r="F36" s="30" t="n">
        <x:v>693.9</x:v>
      </x:c>
      <x:c r="G36" s="30" t="n">
        <x:v>829.2</x:v>
      </x:c>
      <x:c r="H36" s="30" t="n">
        <x:v>51.9</x:v>
      </x:c>
      <x:c r="I36" s="30"/>
      <x:c r="J36" s="30" t="n">
        <x:v>1.5</x:v>
      </x:c>
      <x:c r="K36" s="30" t="n">
        <x:v>11.7</x:v>
      </x:c>
      <x:c r="L36" s="21"/>
      <x:c r="M36" s="2"/>
      <x:c r="N36" s="2"/>
    </x:row>
    <x:row r="37" ht="22" customHeight="1">
      <x:c r="A37" s="31" t="str">
        <x:v>prumyslova</x:v>
      </x:c>
      <x:c r="B37" s="22" t="n">
        <x:v>1937</x:v>
      </x:c>
      <x:c r="C37" s="32" t="n">
        <x:v>100.1</x:v>
      </x:c>
      <x:c r="D37" s="32" t="n">
        <x:v>15.6</x:v>
      </x:c>
      <x:c r="E37" s="32" t="n">
        <x:v>21.5</x:v>
      </x:c>
      <x:c r="F37" s="32" t="n">
        <x:v>736</x:v>
      </x:c>
      <x:c r="G37" s="32" t="n">
        <x:v>811.4</x:v>
      </x:c>
      <x:c r="H37" s="32" t="n">
        <x:v>25.6</x:v>
      </x:c>
      <x:c r="I37" s="32"/>
      <x:c r="J37" s="32" t="n">
        <x:v>2.2</x:v>
      </x:c>
      <x:c r="K37" s="32" t="n">
        <x:v>11.4</x:v>
      </x:c>
      <x:c r="L37" s="23"/>
      <x:c r="M37" s="2"/>
      <x:c r="N37" s="2"/>
    </x:row>
    <x:row r="38" ht="22" customHeight="1">
      <x:c r="A38" s="29" t="str">
        <x:v>moravska</x:v>
      </x:c>
      <x:c r="B38" s="19" t="n">
        <x:v>1933</x:v>
      </x:c>
      <x:c r="C38" s="30" t="n">
        <x:v>70</x:v>
      </x:c>
      <x:c r="D38" s="30" t="n">
        <x:v>10.5</x:v>
      </x:c>
      <x:c r="E38" s="30" t="n">
        <x:v>5.8</x:v>
      </x:c>
      <x:c r="F38" s="30" t="n">
        <x:v>380.2</x:v>
      </x:c>
      <x:c r="G38" s="30" t="n">
        <x:v>1497.6</x:v>
      </x:c>
      <x:c r="H38" s="30" t="n">
        <x:v>9.9</x:v>
      </x:c>
      <x:c r="I38" s="30" t="n">
        <x:v>1</x:v>
      </x:c>
      <x:c r="J38" s="30" t="n">
        <x:v>0.2</x:v>
      </x:c>
      <x:c r="K38" s="30"/>
      <x:c r="L38" s="21"/>
      <x:c r="M38" s="2"/>
      <x:c r="N38" s="2"/>
    </x:row>
    <x:row r="39" ht="22" customHeight="1">
      <x:c r="A39" s="31" t="str">
        <x:v>moravska</x:v>
      </x:c>
      <x:c r="B39" s="22" t="n">
        <x:v>1934</x:v>
      </x:c>
      <x:c r="C39" s="32" t="n">
        <x:v>70</x:v>
      </x:c>
      <x:c r="D39" s="32" t="n">
        <x:v>10.6</x:v>
      </x:c>
      <x:c r="E39" s="32" t="n">
        <x:v>5.8</x:v>
      </x:c>
      <x:c r="F39" s="32" t="n">
        <x:v>358.7</x:v>
      </x:c>
      <x:c r="G39" s="32" t="n">
        <x:v>1501.2</x:v>
      </x:c>
      <x:c r="H39" s="32" t="n">
        <x:v>7.2</x:v>
      </x:c>
      <x:c r="I39" s="32"/>
      <x:c r="J39" s="32" t="n">
        <x:v>1.2</x:v>
      </x:c>
      <x:c r="K39" s="32"/>
      <x:c r="L39" s="23"/>
      <x:c r="M39" s="2"/>
      <x:c r="N39" s="2"/>
    </x:row>
    <x:row r="40" ht="22" customHeight="1">
      <x:c r="A40" s="29" t="str">
        <x:v>moravska</x:v>
      </x:c>
      <x:c r="B40" s="19" t="n">
        <x:v>1935</x:v>
      </x:c>
      <x:c r="C40" s="30" t="n">
        <x:v>70</x:v>
      </x:c>
      <x:c r="D40" s="30" t="n">
        <x:v>10.7</x:v>
      </x:c>
      <x:c r="E40" s="30" t="n">
        <x:v>5.8</x:v>
      </x:c>
      <x:c r="F40" s="30" t="n">
        <x:v>366.1</x:v>
      </x:c>
      <x:c r="G40" s="30" t="n">
        <x:v>1537.9</x:v>
      </x:c>
      <x:c r="H40" s="30" t="n">
        <x:v>7.5</x:v>
      </x:c>
      <x:c r="I40" s="30"/>
      <x:c r="J40" s="30" t="n">
        <x:v>1.5</x:v>
      </x:c>
      <x:c r="K40" s="30"/>
      <x:c r="L40" s="21"/>
      <x:c r="M40" s="2"/>
      <x:c r="N40" s="2"/>
    </x:row>
    <x:row r="41" ht="22" customHeight="1">
      <x:c r="A41" s="31" t="str">
        <x:v>moravska</x:v>
      </x:c>
      <x:c r="B41" s="22" t="n">
        <x:v>1936</x:v>
      </x:c>
      <x:c r="C41" s="32" t="n">
        <x:v>70</x:v>
      </x:c>
      <x:c r="D41" s="32" t="n">
        <x:v>10.7</x:v>
      </x:c>
      <x:c r="E41" s="32" t="n">
        <x:v>5.8</x:v>
      </x:c>
      <x:c r="F41" s="32" t="n">
        <x:v>388.8</x:v>
      </x:c>
      <x:c r="G41" s="32" t="n">
        <x:v>1573.5</x:v>
      </x:c>
      <x:c r="H41" s="32" t="n">
        <x:v>16.8</x:v>
      </x:c>
      <x:c r="I41" s="32"/>
      <x:c r="J41" s="32" t="n">
        <x:v>2.1</x:v>
      </x:c>
      <x:c r="K41" s="32"/>
      <x:c r="L41" s="23"/>
      <x:c r="M41" s="2"/>
      <x:c r="N41" s="2"/>
    </x:row>
    <x:row r="42" ht="22" customHeight="1">
      <x:c r="A42" s="29" t="str">
        <x:v>moravska</x:v>
      </x:c>
      <x:c r="B42" s="19" t="n">
        <x:v>1937</x:v>
      </x:c>
      <x:c r="C42" s="30" t="n">
        <x:v>70</x:v>
      </x:c>
      <x:c r="D42" s="30" t="n">
        <x:v>10.8</x:v>
      </x:c>
      <x:c r="E42" s="30" t="n">
        <x:v>5.8</x:v>
      </x:c>
      <x:c r="F42" s="30" t="n">
        <x:v>407.3</x:v>
      </x:c>
      <x:c r="G42" s="30" t="n">
        <x:v>1566.5</x:v>
      </x:c>
      <x:c r="H42" s="30" t="n">
        <x:v>21.7</x:v>
      </x:c>
      <x:c r="I42" s="30"/>
      <x:c r="J42" s="30" t="n">
        <x:v>3.7</x:v>
      </x:c>
      <x:c r="K42" s="30"/>
      <x:c r="L42" s="21"/>
      <x:c r="M42" s="2"/>
      <x:c r="N42" s="2"/>
    </x:row>
    <x:row r="43" ht="22" customHeight="1">
      <x:c r="A43" s="31" t="str">
        <x:v>plzenska</x:v>
      </x:c>
      <x:c r="B43" s="22" t="n">
        <x:v>1933</x:v>
      </x:c>
      <x:c r="C43" s="32" t="n">
        <x:v>8</x:v>
      </x:c>
      <x:c r="D43" s="32" t="n">
        <x:v>19.3</x:v>
      </x:c>
      <x:c r="E43" s="32" t="n">
        <x:v>2.4</x:v>
      </x:c>
      <x:c r="F43" s="32" t="n">
        <x:v>102.5</x:v>
      </x:c>
      <x:c r="G43" s="32" t="n">
        <x:v>65.1</x:v>
      </x:c>
      <x:c r="H43" s="32" t="n">
        <x:v>1.9</x:v>
      </x:c>
      <x:c r="I43" s="32" t="n">
        <x:v>0.1</x:v>
      </x:c>
      <x:c r="J43" s="32" t="n">
        <x:v>1.1</x:v>
      </x:c>
      <x:c r="K43" s="32"/>
      <x:c r="L43" s="23"/>
      <x:c r="M43" s="2"/>
      <x:c r="N43" s="2"/>
    </x:row>
    <x:row r="44" ht="22" customHeight="1">
      <x:c r="A44" s="29" t="str">
        <x:v>plzenska</x:v>
      </x:c>
      <x:c r="B44" s="19" t="n">
        <x:v>1934</x:v>
      </x:c>
      <x:c r="C44" s="30" t="n">
        <x:v>8</x:v>
      </x:c>
      <x:c r="D44" s="30" t="n">
        <x:v>19.3</x:v>
      </x:c>
      <x:c r="E44" s="30" t="n">
        <x:v>2.6</x:v>
      </x:c>
      <x:c r="F44" s="30" t="n">
        <x:v>101</x:v>
      </x:c>
      <x:c r="G44" s="30" t="n">
        <x:v>73.8</x:v>
      </x:c>
      <x:c r="H44" s="30" t="n">
        <x:v>2</x:v>
      </x:c>
      <x:c r="I44" s="30" t="n">
        <x:v>0.1</x:v>
      </x:c>
      <x:c r="J44" s="30" t="n">
        <x:v>1.1</x:v>
      </x:c>
      <x:c r="K44" s="30"/>
      <x:c r="L44" s="21"/>
      <x:c r="M44" s="2"/>
      <x:c r="N44" s="2"/>
    </x:row>
    <x:row r="45" ht="22" customHeight="1">
      <x:c r="A45" s="31" t="str">
        <x:v>plzenska</x:v>
      </x:c>
      <x:c r="B45" s="22" t="n">
        <x:v>1935</x:v>
      </x:c>
      <x:c r="C45" s="32" t="n">
        <x:v>8</x:v>
      </x:c>
      <x:c r="D45" s="32" t="n">
        <x:v>19.8</x:v>
      </x:c>
      <x:c r="E45" s="32" t="n">
        <x:v>2.9</x:v>
      </x:c>
      <x:c r="F45" s="32" t="n">
        <x:v>107.4</x:v>
      </x:c>
      <x:c r="G45" s="32" t="n">
        <x:v>76.4</x:v>
      </x:c>
      <x:c r="H45" s="32" t="n">
        <x:v>8</x:v>
      </x:c>
      <x:c r="I45" s="32" t="n">
        <x:v>0.1</x:v>
      </x:c>
      <x:c r="J45" s="32" t="n">
        <x:v>1.5</x:v>
      </x:c>
      <x:c r="K45" s="32"/>
      <x:c r="L45" s="23"/>
      <x:c r="M45" s="2"/>
      <x:c r="N45" s="2"/>
    </x:row>
    <x:row r="46" ht="22" customHeight="1">
      <x:c r="A46" s="29" t="str">
        <x:v>plzenska</x:v>
      </x:c>
      <x:c r="B46" s="19" t="n">
        <x:v>1936</x:v>
      </x:c>
      <x:c r="C46" s="30" t="n">
        <x:v>8</x:v>
      </x:c>
      <x:c r="D46" s="30" t="n">
        <x:v>19.4</x:v>
      </x:c>
      <x:c r="E46" s="30" t="n">
        <x:v>3.2</x:v>
      </x:c>
      <x:c r="F46" s="30" t="n">
        <x:v>107.5</x:v>
      </x:c>
      <x:c r="G46" s="30" t="n">
        <x:v>63.5</x:v>
      </x:c>
      <x:c r="H46" s="30" t="n">
        <x:v>1.9</x:v>
      </x:c>
      <x:c r="I46" s="30" t="n">
        <x:v>0.5</x:v>
      </x:c>
      <x:c r="J46" s="30" t="n">
        <x:v>1.2</x:v>
      </x:c>
      <x:c r="K46" s="30"/>
      <x:c r="L46" s="21"/>
      <x:c r="M46" s="2"/>
      <x:c r="N46" s="2"/>
    </x:row>
    <x:row r="47" ht="22" customHeight="1">
      <x:c r="A47" s="31" t="str">
        <x:v>plzenska</x:v>
      </x:c>
      <x:c r="B47" s="22" t="n">
        <x:v>1937</x:v>
      </x:c>
      <x:c r="C47" s="32" t="n">
        <x:v>8</x:v>
      </x:c>
      <x:c r="D47" s="32" t="n">
        <x:v>20</x:v>
      </x:c>
      <x:c r="E47" s="32" t="n">
        <x:v>3.4</x:v>
      </x:c>
      <x:c r="F47" s="32" t="n">
        <x:v>108.6</x:v>
      </x:c>
      <x:c r="G47" s="32" t="n">
        <x:v>63.6</x:v>
      </x:c>
      <x:c r="H47" s="32" t="n">
        <x:v>0.5</x:v>
      </x:c>
      <x:c r="I47" s="32"/>
      <x:c r="J47" s="32" t="n">
        <x:v>1.7</x:v>
      </x:c>
      <x:c r="K47" s="32"/>
      <x:c r="L47" s="23"/>
      <x:c r="M47" s="2"/>
      <x:c r="N47" s="2"/>
    </x:row>
    <x:row r="48" ht="22" customHeight="1">
      <x:c r="A48" s="29" t="str">
        <x:v>sporobanka</x:v>
      </x:c>
      <x:c r="B48" s="19" t="n">
        <x:v>1933</x:v>
      </x:c>
      <x:c r="C48" s="30" t="n">
        <x:v>50</x:v>
      </x:c>
      <x:c r="D48" s="30" t="n">
        <x:v>16</x:v>
      </x:c>
      <x:c r="E48" s="30" t="n">
        <x:v>9.2</x:v>
      </x:c>
      <x:c r="F48" s="30" t="n">
        <x:v>143.8</x:v>
      </x:c>
      <x:c r="G48" s="30" t="n">
        <x:v>382.9</x:v>
      </x:c>
      <x:c r="H48" s="30" t="n">
        <x:v>0.6</x:v>
      </x:c>
      <x:c r="I48" s="30" t="n">
        <x:v>0.1</x:v>
      </x:c>
      <x:c r="J48" s="30" t="n">
        <x:v>4</x:v>
      </x:c>
      <x:c r="K48" s="30" t="n">
        <x:v>89.6</x:v>
      </x:c>
      <x:c r="L48" s="21"/>
      <x:c r="M48" s="2"/>
      <x:c r="N48" s="2"/>
    </x:row>
    <x:row r="49" ht="22" customHeight="1">
      <x:c r="A49" s="31" t="str">
        <x:v>sporobanka</x:v>
      </x:c>
      <x:c r="B49" s="22" t="n">
        <x:v>1934</x:v>
      </x:c>
      <x:c r="C49" s="32" t="n">
        <x:v>50</x:v>
      </x:c>
      <x:c r="D49" s="32" t="n">
        <x:v>17.4</x:v>
      </x:c>
      <x:c r="E49" s="32" t="n">
        <x:v>9.1</x:v>
      </x:c>
      <x:c r="F49" s="32" t="n">
        <x:v>140.9</x:v>
      </x:c>
      <x:c r="G49" s="32" t="n">
        <x:v>448.9</x:v>
      </x:c>
      <x:c r="H49" s="32" t="n">
        <x:v>0.6</x:v>
      </x:c>
      <x:c r="I49" s="32" t="n">
        <x:v>0.1</x:v>
      </x:c>
      <x:c r="J49" s="32" t="n">
        <x:v>4</x:v>
      </x:c>
      <x:c r="K49" s="32" t="n">
        <x:v>90</x:v>
      </x:c>
      <x:c r="L49" s="23"/>
      <x:c r="M49" s="2"/>
      <x:c r="N49" s="2"/>
    </x:row>
    <x:row r="50" ht="22" customHeight="1">
      <x:c r="A50" s="29" t="str">
        <x:v>sporobanka</x:v>
      </x:c>
      <x:c r="B50" s="19" t="n">
        <x:v>1935</x:v>
      </x:c>
      <x:c r="C50" s="30" t="n">
        <x:v>50</x:v>
      </x:c>
      <x:c r="D50" s="30" t="n">
        <x:v>17.8</x:v>
      </x:c>
      <x:c r="E50" s="30" t="n">
        <x:v>9.5</x:v>
      </x:c>
      <x:c r="F50" s="30" t="n">
        <x:v>150.5</x:v>
      </x:c>
      <x:c r="G50" s="30" t="n">
        <x:v>528.9</x:v>
      </x:c>
      <x:c r="H50" s="30" t="n">
        <x:v>1</x:v>
      </x:c>
      <x:c r="I50" s="30" t="n">
        <x:v>0.2</x:v>
      </x:c>
      <x:c r="J50" s="30" t="n">
        <x:v>4</x:v>
      </x:c>
      <x:c r="K50" s="30" t="n">
        <x:v>89.3</x:v>
      </x:c>
      <x:c r="L50" s="21"/>
      <x:c r="M50" s="2"/>
      <x:c r="N50" s="2"/>
    </x:row>
    <x:row r="51" ht="22" customHeight="1">
      <x:c r="A51" s="31" t="str">
        <x:v>sporobanka</x:v>
      </x:c>
      <x:c r="B51" s="22" t="n">
        <x:v>1936</x:v>
      </x:c>
      <x:c r="C51" s="32" t="n">
        <x:v>50</x:v>
      </x:c>
      <x:c r="D51" s="32" t="n">
        <x:v>18.6</x:v>
      </x:c>
      <x:c r="E51" s="32" t="n">
        <x:v>10.1</x:v>
      </x:c>
      <x:c r="F51" s="32" t="n">
        <x:v>145.6</x:v>
      </x:c>
      <x:c r="G51" s="32" t="n">
        <x:v>528.9</x:v>
      </x:c>
      <x:c r="H51" s="32" t="n">
        <x:v>2.1</x:v>
      </x:c>
      <x:c r="I51" s="32" t="n">
        <x:v>0.5</x:v>
      </x:c>
      <x:c r="J51" s="32" t="n">
        <x:v>4</x:v>
      </x:c>
      <x:c r="K51" s="32" t="n">
        <x:v>88.9</x:v>
      </x:c>
      <x:c r="L51" s="23"/>
      <x:c r="M51" s="2"/>
      <x:c r="N51" s="2"/>
    </x:row>
    <x:row r="52" ht="22" customHeight="1">
      <x:c r="A52" s="29" t="str">
        <x:v>sporobanka</x:v>
      </x:c>
      <x:c r="B52" s="19" t="n">
        <x:v>1937</x:v>
      </x:c>
      <x:c r="C52" s="30" t="n">
        <x:v>50</x:v>
      </x:c>
      <x:c r="D52" s="30" t="n">
        <x:v>18.8</x:v>
      </x:c>
      <x:c r="E52" s="30" t="n">
        <x:v>11.2</x:v>
      </x:c>
      <x:c r="F52" s="30" t="n">
        <x:v>153.8</x:v>
      </x:c>
      <x:c r="G52" s="30" t="n">
        <x:v>983.6</x:v>
      </x:c>
      <x:c r="H52" s="30" t="n">
        <x:v>1.7</x:v>
      </x:c>
      <x:c r="I52" s="30" t="n">
        <x:v>0.5</x:v>
      </x:c>
      <x:c r="J52" s="30" t="n">
        <x:v>5.1</x:v>
      </x:c>
      <x:c r="K52" s="30" t="n">
        <x:v>86.8</x:v>
      </x:c>
      <x:c r="L52" s="21"/>
      <x:c r="M52" s="2"/>
      <x:c r="N52" s="2"/>
    </x:row>
    <x:row r="53" ht="22" customHeight="1">
      <x:c r="A53" s="31" t="str">
        <x:v>zivno</x:v>
      </x:c>
      <x:c r="B53" s="22" t="n">
        <x:v>1933</x:v>
      </x:c>
      <x:c r="C53" s="32" t="n">
        <x:v>240</x:v>
      </x:c>
      <x:c r="D53" s="32" t="n">
        <x:v>347</x:v>
      </x:c>
      <x:c r="E53" s="32" t="n">
        <x:v>75.3</x:v>
      </x:c>
      <x:c r="F53" s="32" t="n">
        <x:v>2169.2</x:v>
      </x:c>
      <x:c r="G53" s="32" t="n">
        <x:v>1945.1</x:v>
      </x:c>
      <x:c r="H53" s="32" t="n">
        <x:v>51.7</x:v>
      </x:c>
      <x:c r="I53" s="32" t="n">
        <x:v>3.5</x:v>
      </x:c>
      <x:c r="J53" s="32" t="n">
        <x:v>13.7</x:v>
      </x:c>
      <x:c r="K53" s="32" t="n">
        <x:v>59.3</x:v>
      </x:c>
      <x:c r="L53" s="23"/>
      <x:c r="M53" s="2"/>
      <x:c r="N53" s="2"/>
    </x:row>
    <x:row r="54" ht="22" customHeight="1">
      <x:c r="A54" s="29" t="str">
        <x:v>zivno</x:v>
      </x:c>
      <x:c r="B54" s="19" t="n">
        <x:v>1934</x:v>
      </x:c>
      <x:c r="C54" s="30" t="n">
        <x:v>240</x:v>
      </x:c>
      <x:c r="D54" s="30" t="n">
        <x:v>348</x:v>
      </x:c>
      <x:c r="E54" s="30" t="n">
        <x:v>83.6</x:v>
      </x:c>
      <x:c r="F54" s="30" t="n">
        <x:v>2299.5</x:v>
      </x:c>
      <x:c r="G54" s="30" t="n">
        <x:v>1933.4</x:v>
      </x:c>
      <x:c r="H54" s="30" t="n">
        <x:v>55.4</x:v>
      </x:c>
      <x:c r="I54" s="30" t="n">
        <x:v>3.6</x:v>
      </x:c>
      <x:c r="J54" s="30" t="n">
        <x:v>16.4</x:v>
      </x:c>
      <x:c r="K54" s="30" t="n">
        <x:v>59.2</x:v>
      </x:c>
      <x:c r="L54" s="21"/>
      <x:c r="M54" s="2"/>
      <x:c r="N54" s="2"/>
    </x:row>
    <x:row r="55" ht="22" customHeight="1">
      <x:c r="A55" s="31" t="str">
        <x:v>zivno</x:v>
      </x:c>
      <x:c r="B55" s="22" t="n">
        <x:v>1935</x:v>
      </x:c>
      <x:c r="C55" s="32" t="n">
        <x:v>240</x:v>
      </x:c>
      <x:c r="D55" s="32" t="n">
        <x:v>349.2</x:v>
      </x:c>
      <x:c r="E55" s="32" t="n">
        <x:v>87.1</x:v>
      </x:c>
      <x:c r="F55" s="32" t="n">
        <x:v>2400.8</x:v>
      </x:c>
      <x:c r="G55" s="32" t="n">
        <x:v>1975.4</x:v>
      </x:c>
      <x:c r="H55" s="32" t="n">
        <x:v>74</x:v>
      </x:c>
      <x:c r="I55" s="32" t="n">
        <x:v>3.8</x:v>
      </x:c>
      <x:c r="J55" s="32" t="n">
        <x:v>16.1</x:v>
      </x:c>
      <x:c r="K55" s="32" t="n">
        <x:v>59.7</x:v>
      </x:c>
      <x:c r="L55" s="23"/>
      <x:c r="M55" s="2"/>
      <x:c r="N55" s="2"/>
    </x:row>
    <x:row r="56" ht="22" customHeight="1">
      <x:c r="A56" s="29" t="str">
        <x:v>zivno</x:v>
      </x:c>
      <x:c r="B56" s="19" t="n">
        <x:v>1936</x:v>
      </x:c>
      <x:c r="C56" s="30" t="n">
        <x:v>240</x:v>
      </x:c>
      <x:c r="D56" s="30" t="n">
        <x:v>350.4</x:v>
      </x:c>
      <x:c r="E56" s="30" t="n">
        <x:v>91.1</x:v>
      </x:c>
      <x:c r="F56" s="30" t="n">
        <x:v>2421.7</x:v>
      </x:c>
      <x:c r="G56" s="30" t="n">
        <x:v>2003.9</x:v>
      </x:c>
      <x:c r="H56" s="30" t="n">
        <x:v>66.6</x:v>
      </x:c>
      <x:c r="I56" s="30" t="n">
        <x:v>3.7</x:v>
      </x:c>
      <x:c r="J56" s="30" t="n">
        <x:v>18.7</x:v>
      </x:c>
      <x:c r="K56" s="30" t="n">
        <x:v>54.2</x:v>
      </x:c>
      <x:c r="L56" s="21"/>
      <x:c r="M56" s="2"/>
      <x:c r="N56" s="2"/>
    </x:row>
    <x:row r="57" ht="22" customHeight="1">
      <x:c r="A57" s="31" t="str">
        <x:v>zivno</x:v>
      </x:c>
      <x:c r="B57" s="22" t="n">
        <x:v>1937</x:v>
      </x:c>
      <x:c r="C57" s="32" t="n">
        <x:v>240</x:v>
      </x:c>
      <x:c r="D57" s="32" t="n">
        <x:v>351.6</x:v>
      </x:c>
      <x:c r="E57" s="32" t="n">
        <x:v>91.1</x:v>
      </x:c>
      <x:c r="F57" s="32" t="n">
        <x:v>2474.4</x:v>
      </x:c>
      <x:c r="G57" s="32" t="n">
        <x:v>2036.4</x:v>
      </x:c>
      <x:c r="H57" s="32" t="n">
        <x:v>83.4</x:v>
      </x:c>
      <x:c r="I57" s="32" t="n">
        <x:v>3.6</x:v>
      </x:c>
      <x:c r="J57" s="32" t="n">
        <x:v>20.2</x:v>
      </x:c>
      <x:c r="K57" s="32" t="n">
        <x:v>61.6</x:v>
      </x:c>
      <x:c r="L57" s="23"/>
      <x:c r="M57" s="2"/>
      <x:c r="N57" s="2"/>
    </x:row>
    <x:row r="58" ht="22" customHeight="1">
      <x:c r="A58" s="29" t="str">
        <x:v>anglo</x:v>
      </x:c>
      <x:c r="B58" s="19" t="n">
        <x:v>1933</x:v>
      </x:c>
      <x:c r="C58" s="30" t="n">
        <x:v>120</x:v>
      </x:c>
      <x:c r="D58" s="30" t="n">
        <x:v>18.1</x:v>
      </x:c>
      <x:c r="E58" s="30" t="n">
        <x:v>62.3</x:v>
      </x:c>
      <x:c r="F58" s="30" t="n">
        <x:v>916</x:v>
      </x:c>
      <x:c r="G58" s="30" t="n">
        <x:v>1739.8</x:v>
      </x:c>
      <x:c r="H58" s="30" t="n">
        <x:v>24</x:v>
      </x:c>
      <x:c r="I58" s="30"/>
      <x:c r="J58" s="30" t="n">
        <x:v>0.6</x:v>
      </x:c>
      <x:c r="K58" s="30"/>
      <x:c r="L58" s="21"/>
      <x:c r="M58" s="2"/>
      <x:c r="N58" s="2"/>
    </x:row>
    <x:row r="59" ht="22" customHeight="1">
      <x:c r="A59" s="31" t="str">
        <x:v>anglo</x:v>
      </x:c>
      <x:c r="B59" s="22" t="n">
        <x:v>1934</x:v>
      </x:c>
      <x:c r="C59" s="32" t="n">
        <x:v>120</x:v>
      </x:c>
      <x:c r="D59" s="32" t="n">
        <x:v>18.1</x:v>
      </x:c>
      <x:c r="E59" s="32" t="n">
        <x:v>62.3</x:v>
      </x:c>
      <x:c r="F59" s="32" t="n">
        <x:v>974.9</x:v>
      </x:c>
      <x:c r="G59" s="32" t="n">
        <x:v>1722.3</x:v>
      </x:c>
      <x:c r="H59" s="32" t="n">
        <x:v>23.2</x:v>
      </x:c>
      <x:c r="I59" s="32"/>
      <x:c r="J59" s="32" t="n">
        <x:v>0.7</x:v>
      </x:c>
      <x:c r="K59" s="32"/>
      <x:c r="L59" s="23"/>
      <x:c r="M59" s="2"/>
      <x:c r="N59" s="2"/>
    </x:row>
    <x:row r="60" ht="22" customHeight="1">
      <x:c r="A60" s="29" t="str">
        <x:v>anglo</x:v>
      </x:c>
      <x:c r="B60" s="19" t="n">
        <x:v>1935</x:v>
      </x:c>
      <x:c r="C60" s="30" t="n">
        <x:v>120</x:v>
      </x:c>
      <x:c r="D60" s="30" t="n">
        <x:v>18.1</x:v>
      </x:c>
      <x:c r="E60" s="30" t="n">
        <x:v>62.3</x:v>
      </x:c>
      <x:c r="F60" s="30" t="n">
        <x:v>1034.5</x:v>
      </x:c>
      <x:c r="G60" s="30" t="n">
        <x:v>1757.4</x:v>
      </x:c>
      <x:c r="H60" s="30" t="n">
        <x:v>23.2</x:v>
      </x:c>
      <x:c r="I60" s="30"/>
      <x:c r="J60" s="30" t="n">
        <x:v>0.9</x:v>
      </x:c>
      <x:c r="K60" s="30"/>
      <x:c r="L60" s="21"/>
      <x:c r="M60" s="2"/>
      <x:c r="N60" s="2"/>
    </x:row>
    <x:row r="61" ht="22" customHeight="1">
      <x:c r="A61" s="31" t="str">
        <x:v>anglo</x:v>
      </x:c>
      <x:c r="B61" s="22" t="n">
        <x:v>1936</x:v>
      </x:c>
      <x:c r="C61" s="32" t="n">
        <x:v>120</x:v>
      </x:c>
      <x:c r="D61" s="32" t="n">
        <x:v>18.2</x:v>
      </x:c>
      <x:c r="E61" s="32" t="n">
        <x:v>62.3</x:v>
      </x:c>
      <x:c r="F61" s="32" t="n">
        <x:v>1055.8</x:v>
      </x:c>
      <x:c r="G61" s="32" t="n">
        <x:v>1916</x:v>
      </x:c>
      <x:c r="H61" s="32" t="n">
        <x:v>24.1</x:v>
      </x:c>
      <x:c r="I61" s="32"/>
      <x:c r="J61" s="32" t="n">
        <x:v>1.1</x:v>
      </x:c>
      <x:c r="K61" s="32"/>
      <x:c r="L61" s="23"/>
      <x:c r="M61" s="2"/>
      <x:c r="N61" s="2"/>
    </x:row>
    <x:row r="62" ht="22" customHeight="1">
      <x:c r="A62" s="29" t="str">
        <x:v>anglo</x:v>
      </x:c>
      <x:c r="B62" s="19" t="n">
        <x:v>1937</x:v>
      </x:c>
      <x:c r="C62" s="30" t="n">
        <x:v>120</x:v>
      </x:c>
      <x:c r="D62" s="30" t="n">
        <x:v>18.3</x:v>
      </x:c>
      <x:c r="E62" s="30" t="n">
        <x:v>62.3</x:v>
      </x:c>
      <x:c r="F62" s="30" t="n">
        <x:v>1094.4</x:v>
      </x:c>
      <x:c r="G62" s="30" t="n">
        <x:v>2059.7</x:v>
      </x:c>
      <x:c r="H62" s="30" t="n">
        <x:v>28.2</x:v>
      </x:c>
      <x:c r="I62" s="30"/>
      <x:c r="J62" s="30" t="n">
        <x:v>2.5</x:v>
      </x:c>
      <x:c r="K62" s="30"/>
      <x:c r="L62" s="21"/>
      <x:c r="M62" s="2"/>
      <x:c r="N62" s="2"/>
    </x:row>
    <x:row r="63" ht="22" customHeight="1">
      <x:c r="A63" s="31" t="str">
        <x:v>legio</x:v>
      </x:c>
      <x:c r="B63" s="22" t="n">
        <x:v>1933</x:v>
      </x:c>
      <x:c r="C63" s="32" t="n">
        <x:v>70</x:v>
      </x:c>
      <x:c r="D63" s="32" t="n">
        <x:v>65</x:v>
      </x:c>
      <x:c r="E63" s="32"/>
      <x:c r="F63" s="32" t="n">
        <x:v>444.5</x:v>
      </x:c>
      <x:c r="G63" s="32" t="n">
        <x:v>581.5</x:v>
      </x:c>
      <x:c r="H63" s="32" t="n">
        <x:v>33.9</x:v>
      </x:c>
      <x:c r="I63" s="32" t="n">
        <x:v>0.1</x:v>
      </x:c>
      <x:c r="J63" s="32" t="n">
        <x:v>5</x:v>
      </x:c>
      <x:c r="K63" s="32"/>
      <x:c r="L63" s="23" t="n">
        <x:v>35</x:v>
      </x:c>
      <x:c r="M63" s="2"/>
      <x:c r="N63" s="2"/>
    </x:row>
    <x:row r="64" ht="22" customHeight="1">
      <x:c r="A64" s="29" t="str">
        <x:v>legio</x:v>
      </x:c>
      <x:c r="B64" s="19" t="n">
        <x:v>1934</x:v>
      </x:c>
      <x:c r="C64" s="30" t="n">
        <x:v>70</x:v>
      </x:c>
      <x:c r="D64" s="30" t="n">
        <x:v>65</x:v>
      </x:c>
      <x:c r="E64" s="30"/>
      <x:c r="F64" s="30" t="n">
        <x:v>463.2</x:v>
      </x:c>
      <x:c r="G64" s="30" t="n">
        <x:v>506.1</x:v>
      </x:c>
      <x:c r="H64" s="30" t="n">
        <x:v>34</x:v>
      </x:c>
      <x:c r="I64" s="30" t="n">
        <x:v>0.2</x:v>
      </x:c>
      <x:c r="J64" s="30" t="n">
        <x:v>5.6</x:v>
      </x:c>
      <x:c r="K64" s="30"/>
      <x:c r="L64" s="21" t="n">
        <x:v>35</x:v>
      </x:c>
      <x:c r="M64" s="2"/>
      <x:c r="N64" s="2"/>
    </x:row>
    <x:row r="65" ht="22" customHeight="1">
      <x:c r="A65" s="31" t="str">
        <x:v>legio</x:v>
      </x:c>
      <x:c r="B65" s="22" t="n">
        <x:v>1935</x:v>
      </x:c>
      <x:c r="C65" s="32" t="n">
        <x:v>70</x:v>
      </x:c>
      <x:c r="D65" s="32" t="n">
        <x:v>65</x:v>
      </x:c>
      <x:c r="E65" s="32"/>
      <x:c r="F65" s="32" t="n">
        <x:v>491.4</x:v>
      </x:c>
      <x:c r="G65" s="32" t="n">
        <x:v>498.5</x:v>
      </x:c>
      <x:c r="H65" s="32" t="n">
        <x:v>38.1</x:v>
      </x:c>
      <x:c r="I65" s="32" t="n">
        <x:v>0.4</x:v>
      </x:c>
      <x:c r="J65" s="32" t="n">
        <x:v>5.4</x:v>
      </x:c>
      <x:c r="K65" s="32"/>
      <x:c r="L65" s="23"/>
      <x:c r="M65" s="2"/>
      <x:c r="N65" s="2"/>
    </x:row>
    <x:row r="66" ht="22" customHeight="1">
      <x:c r="A66" s="29" t="str">
        <x:v>legio</x:v>
      </x:c>
      <x:c r="B66" s="19" t="n">
        <x:v>1936</x:v>
      </x:c>
      <x:c r="C66" s="30" t="n">
        <x:v>70</x:v>
      </x:c>
      <x:c r="D66" s="30" t="n">
        <x:v>65</x:v>
      </x:c>
      <x:c r="E66" s="30"/>
      <x:c r="F66" s="30" t="n">
        <x:v>512.5</x:v>
      </x:c>
      <x:c r="G66" s="30" t="n">
        <x:v>599.4</x:v>
      </x:c>
      <x:c r="H66" s="30" t="n">
        <x:v>40.5</x:v>
      </x:c>
      <x:c r="I66" s="30" t="n">
        <x:v>0.5</x:v>
      </x:c>
      <x:c r="J66" s="30" t="n">
        <x:v>5.5</x:v>
      </x:c>
      <x:c r="K66" s="30"/>
      <x:c r="L66" s="21"/>
      <x:c r="M66" s="2"/>
      <x:c r="N66" s="2"/>
    </x:row>
    <x:row r="67" ht="22" customHeight="1">
      <x:c r="A67" s="31" t="str">
        <x:v>legio</x:v>
      </x:c>
      <x:c r="B67" s="22" t="n">
        <x:v>1937</x:v>
      </x:c>
      <x:c r="C67" s="32" t="n">
        <x:v>70</x:v>
      </x:c>
      <x:c r="D67" s="32" t="n">
        <x:v>65</x:v>
      </x:c>
      <x:c r="E67" s="32"/>
      <x:c r="F67" s="32" t="n">
        <x:v>564.8</x:v>
      </x:c>
      <x:c r="G67" s="32" t="n">
        <x:v>546.8</x:v>
      </x:c>
      <x:c r="H67" s="32" t="n">
        <x:v>42.7</x:v>
      </x:c>
      <x:c r="I67" s="32" t="n">
        <x:v>0.6</x:v>
      </x:c>
      <x:c r="J67" s="32" t="n">
        <x:v>5.4</x:v>
      </x:c>
      <x:c r="K67" s="32"/>
      <x:c r="L67" s="23"/>
      <x:c r="M67" s="2"/>
      <x:c r="N67" s="2"/>
    </x:row>
    <x:row r="68" ht="22" customHeight="1">
      <x:c r="A68" s="29" t="str">
        <x:v>deutagr</x:v>
      </x:c>
      <x:c r="B68" s="19" t="n">
        <x:v>1933</x:v>
      </x:c>
      <x:c r="C68" s="30" t="n">
        <x:v>48</x:v>
      </x:c>
      <x:c r="D68" s="30" t="n">
        <x:v>7.3</x:v>
      </x:c>
      <x:c r="E68" s="30" t="n">
        <x:v>1.9</x:v>
      </x:c>
      <x:c r="F68" s="30" t="n">
        <x:v>150.1</x:v>
      </x:c>
      <x:c r="G68" s="30" t="n">
        <x:v>289.1</x:v>
      </x:c>
      <x:c r="H68" s="30" t="n">
        <x:v>5.4</x:v>
      </x:c>
      <x:c r="I68" s="30" t="n">
        <x:v>0.3</x:v>
      </x:c>
      <x:c r="J68" s="30" t="n">
        <x:v>0.1</x:v>
      </x:c>
      <x:c r="K68" s="30"/>
      <x:c r="L68" s="21"/>
      <x:c r="M68" s="2"/>
      <x:c r="N68" s="2"/>
    </x:row>
    <x:row r="69" ht="22" customHeight="1">
      <x:c r="A69" s="31" t="str">
        <x:v>deutagr</x:v>
      </x:c>
      <x:c r="B69" s="22" t="n">
        <x:v>1934</x:v>
      </x:c>
      <x:c r="C69" s="32" t="n">
        <x:v>48</x:v>
      </x:c>
      <x:c r="D69" s="32" t="n">
        <x:v>7.3</x:v>
      </x:c>
      <x:c r="E69" s="32" t="n">
        <x:v>1.9</x:v>
      </x:c>
      <x:c r="F69" s="32" t="n">
        <x:v>142.2</x:v>
      </x:c>
      <x:c r="G69" s="32" t="n">
        <x:v>283.9</x:v>
      </x:c>
      <x:c r="H69" s="32" t="n">
        <x:v>4</x:v>
      </x:c>
      <x:c r="I69" s="32"/>
      <x:c r="J69" s="32" t="n">
        <x:v>0.1</x:v>
      </x:c>
      <x:c r="K69" s="32"/>
      <x:c r="L69" s="23"/>
      <x:c r="M69" s="2"/>
      <x:c r="N69" s="2"/>
    </x:row>
    <x:row r="70" ht="22" customHeight="1">
      <x:c r="A70" s="29" t="str">
        <x:v>deutagr</x:v>
      </x:c>
      <x:c r="B70" s="19" t="n">
        <x:v>1935</x:v>
      </x:c>
      <x:c r="C70" s="30" t="n">
        <x:v>48</x:v>
      </x:c>
      <x:c r="D70" s="30" t="n">
        <x:v>7.3</x:v>
      </x:c>
      <x:c r="E70" s="30" t="n">
        <x:v>1.9</x:v>
      </x:c>
      <x:c r="F70" s="30" t="n">
        <x:v>150.6</x:v>
      </x:c>
      <x:c r="G70" s="30" t="n">
        <x:v>325.3</x:v>
      </x:c>
      <x:c r="H70" s="30" t="n">
        <x:v>4.4</x:v>
      </x:c>
      <x:c r="I70" s="30"/>
      <x:c r="J70" s="30" t="n">
        <x:v>0.2</x:v>
      </x:c>
      <x:c r="K70" s="30"/>
      <x:c r="L70" s="21"/>
      <x:c r="M70" s="2"/>
      <x:c r="N70" s="2"/>
    </x:row>
    <x:row r="71" ht="22" customHeight="1">
      <x:c r="A71" s="31" t="str">
        <x:v>deutagr</x:v>
      </x:c>
      <x:c r="B71" s="22" t="n">
        <x:v>1936</x:v>
      </x:c>
      <x:c r="C71" s="32" t="n">
        <x:v>48</x:v>
      </x:c>
      <x:c r="D71" s="32" t="n">
        <x:v>7.3</x:v>
      </x:c>
      <x:c r="E71" s="32" t="n">
        <x:v>1.9</x:v>
      </x:c>
      <x:c r="F71" s="32" t="n">
        <x:v>172.9</x:v>
      </x:c>
      <x:c r="G71" s="32" t="n">
        <x:v>341.4</x:v>
      </x:c>
      <x:c r="H71" s="32" t="n">
        <x:v>3.6</x:v>
      </x:c>
      <x:c r="I71" s="32"/>
      <x:c r="J71" s="32" t="n">
        <x:v>0.2</x:v>
      </x:c>
      <x:c r="K71" s="32"/>
      <x:c r="L71" s="23"/>
      <x:c r="M71" s="2"/>
      <x:c r="N71" s="2"/>
    </x:row>
    <x:row r="72" ht="22" customHeight="1">
      <x:c r="A72" s="29" t="str">
        <x:v>deutagr</x:v>
      </x:c>
      <x:c r="B72" s="19" t="n">
        <x:v>1937</x:v>
      </x:c>
      <x:c r="C72" s="30" t="n">
        <x:v>48</x:v>
      </x:c>
      <x:c r="D72" s="30" t="n">
        <x:v>7.4</x:v>
      </x:c>
      <x:c r="E72" s="30" t="n">
        <x:v>1.9</x:v>
      </x:c>
      <x:c r="F72" s="30" t="n">
        <x:v>193.1</x:v>
      </x:c>
      <x:c r="G72" s="30" t="n">
        <x:v>367.3</x:v>
      </x:c>
      <x:c r="H72" s="30" t="n">
        <x:v>2.7</x:v>
      </x:c>
      <x:c r="I72" s="30"/>
      <x:c r="J72" s="30" t="n">
        <x:v>0.2</x:v>
      </x:c>
      <x:c r="K72" s="30"/>
      <x:c r="L72" s="21"/>
      <x:c r="M72" s="2"/>
      <x:c r="N72" s="2"/>
    </x:row>
    <x:row r="73" ht="22" customHeight="1">
      <x:c r="A73" s="31" t="str">
        <x:v>vseobdruz</x:v>
      </x:c>
      <x:c r="B73" s="22" t="n">
        <x:v>1933</x:v>
      </x:c>
      <x:c r="C73" s="32" t="n">
        <x:v>5</x:v>
      </x:c>
      <x:c r="D73" s="32" t="n">
        <x:v>6.037</x:v>
      </x:c>
      <x:c r="E73" s="32"/>
      <x:c r="F73" s="32" t="n">
        <x:v>41.493</x:v>
      </x:c>
      <x:c r="G73" s="32" t="n">
        <x:v>109.759</x:v>
      </x:c>
      <x:c r="H73" s="32" t="n">
        <x:v>8.204</x:v>
      </x:c>
      <x:c r="I73" s="32"/>
      <x:c r="J73" s="32" t="n">
        <x:v>0.621</x:v>
      </x:c>
      <x:c r="K73" s="32"/>
      <x:c r="L73" s="23"/>
      <x:c r="M73" s="2"/>
      <x:c r="N73" s="2"/>
    </x:row>
    <x:row r="74" ht="22" customHeight="1">
      <x:c r="A74" s="29" t="str">
        <x:v>vseobdruz</x:v>
      </x:c>
      <x:c r="B74" s="19" t="n">
        <x:v>1934</x:v>
      </x:c>
      <x:c r="C74" s="30" t="n">
        <x:v>5</x:v>
      </x:c>
      <x:c r="D74" s="30" t="n">
        <x:v>6.373</x:v>
      </x:c>
      <x:c r="E74" s="30"/>
      <x:c r="F74" s="30" t="n">
        <x:v>43.375</x:v>
      </x:c>
      <x:c r="G74" s="30" t="n">
        <x:v>119.628</x:v>
      </x:c>
      <x:c r="H74" s="30" t="n">
        <x:v>8.196</x:v>
      </x:c>
      <x:c r="I74" s="30"/>
      <x:c r="J74" s="30" t="n">
        <x:v>0.75</x:v>
      </x:c>
      <x:c r="K74" s="30"/>
      <x:c r="L74" s="21"/>
      <x:c r="M74" s="2"/>
      <x:c r="N74" s="2"/>
    </x:row>
    <x:row r="75" ht="22" customHeight="1">
      <x:c r="A75" s="31" t="str">
        <x:v>vseobdruz</x:v>
      </x:c>
      <x:c r="B75" s="22" t="n">
        <x:v>1935</x:v>
      </x:c>
      <x:c r="C75" s="32" t="n">
        <x:v>5</x:v>
      </x:c>
      <x:c r="D75" s="32" t="n">
        <x:v>6.776</x:v>
      </x:c>
      <x:c r="E75" s="32"/>
      <x:c r="F75" s="32" t="n">
        <x:v>44.621</x:v>
      </x:c>
      <x:c r="G75" s="32" t="n">
        <x:v>138.908</x:v>
      </x:c>
      <x:c r="H75" s="32" t="n">
        <x:v>12.83</x:v>
      </x:c>
      <x:c r="I75" s="32"/>
      <x:c r="J75" s="32" t="n">
        <x:v>1.043</x:v>
      </x:c>
      <x:c r="K75" s="32"/>
      <x:c r="L75" s="23"/>
      <x:c r="M75" s="2"/>
      <x:c r="N75" s="2"/>
    </x:row>
    <x:row r="76" ht="22" customHeight="1">
      <x:c r="A76" s="29" t="str">
        <x:v>vseobdruz</x:v>
      </x:c>
      <x:c r="B76" s="19" t="n">
        <x:v>1936</x:v>
      </x:c>
      <x:c r="C76" s="30" t="n">
        <x:v>5</x:v>
      </x:c>
      <x:c r="D76" s="30" t="n">
        <x:v>7.395</x:v>
      </x:c>
      <x:c r="E76" s="30"/>
      <x:c r="F76" s="30" t="n">
        <x:v>60.753</x:v>
      </x:c>
      <x:c r="G76" s="30" t="n">
        <x:v>129.674</x:v>
      </x:c>
      <x:c r="H76" s="30" t="n">
        <x:v>11.884</x:v>
      </x:c>
      <x:c r="I76" s="30"/>
      <x:c r="J76" s="30" t="n">
        <x:v>1.246</x:v>
      </x:c>
      <x:c r="K76" s="30"/>
      <x:c r="L76" s="21"/>
      <x:c r="M76" s="2"/>
      <x:c r="N76" s="2"/>
    </x:row>
    <x:row r="77" ht="22" customHeight="1">
      <x:c r="A77" s="31" t="str">
        <x:v>vseobdruz</x:v>
      </x:c>
      <x:c r="B77" s="22" t="n">
        <x:v>1937</x:v>
      </x:c>
      <x:c r="C77" s="32" t="n">
        <x:v>10</x:v>
      </x:c>
      <x:c r="D77" s="32" t="n">
        <x:v>8.149</x:v>
      </x:c>
      <x:c r="E77" s="32"/>
      <x:c r="F77" s="32" t="n">
        <x:v>62.89</x:v>
      </x:c>
      <x:c r="G77" s="32" t="n">
        <x:v>173.99</x:v>
      </x:c>
      <x:c r="H77" s="32" t="n">
        <x:v>3.446</x:v>
      </x:c>
      <x:c r="I77" s="32"/>
      <x:c r="J77" s="32" t="n">
        <x:v>1.44</x:v>
      </x:c>
      <x:c r="K77" s="32"/>
      <x:c r="L77" s="23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630abe0bd65c4a0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5600004196167" hidden="0" customWidth="1"/>
    <x:col min="2" max="2" width="8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Bank income accounts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</x:row>
    <x:row r="3" ht="20" customHeight="1">
      <x:c r="A3" s="6" t="str">
        <x:v>Nominal millions of Kč. One row per source observation. Blank cells are not zero.</x:v>
      </x:c>
      <x:c r="B3" s="6"/>
      <x:c r="C3" s="6"/>
      <x:c r="D3" s="6"/>
      <x:c r="E3" s="6"/>
      <x:c r="F3" s="6"/>
      <x:c r="G3" s="6"/>
      <x:c r="H3" s="6"/>
      <x:c r="I3" s="6"/>
      <x:c r="J3" s="6"/>
      <x:c r="K3" s="2"/>
      <x:c r="L3" s="2"/>
      <x:c r="M3" s="2"/>
      <x:c r="N3" s="2"/>
    </x:row>
    <x:row r="4" ht="20" customHeight="1">
      <x:c r="A4" s="6" t="str">
        <x:v>Annual flows, as classified in the consulted handbook retyping. Income intensity is not a net interest margin.</x:v>
      </x:c>
      <x:c r="B4" s="6"/>
      <x:c r="C4" s="6"/>
      <x:c r="D4" s="6"/>
      <x:c r="E4" s="6"/>
      <x:c r="F4" s="6"/>
      <x:c r="G4" s="6"/>
      <x:c r="H4" s="6"/>
      <x:c r="I4" s="6"/>
      <x:c r="J4" s="6"/>
      <x:c r="K4" s="2"/>
      <x:c r="L4" s="2"/>
      <x:c r="M4" s="2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Bank ID</x:v>
      </x:c>
      <x:c r="B7" s="16" t="str">
        <x:v>Year</x:v>
      </x:c>
      <x:c r="C7" s="16" t="str">
        <x:v>Net interest</x:v>
      </x:c>
      <x:c r="D7" s="16" t="str">
        <x:v>Commissions</x:v>
      </x:c>
      <x:c r="E7" s="16" t="str">
        <x:v>Other income</x:v>
      </x:c>
      <x:c r="F7" s="16" t="str">
        <x:v>Non-staff overheads</x:v>
      </x:c>
      <x:c r="G7" s="16" t="str">
        <x:v>Staff overheads</x:v>
      </x:c>
      <x:c r="H7" s="16" t="str">
        <x:v>Taxes</x:v>
      </x:c>
      <x:c r="I7" s="16" t="str">
        <x:v>Depreciation</x:v>
      </x:c>
      <x:c r="J7" s="17" t="str">
        <x:v>Other losses</x:v>
      </x:c>
      <x:c r="K7" s="2"/>
      <x:c r="L7" s="2"/>
      <x:c r="M7" s="2"/>
      <x:c r="N7" s="2"/>
    </x:row>
    <x:row r="8" ht="22" customHeight="1">
      <x:c r="A8" s="29" t="str">
        <x:v>agrarni</x:v>
      </x:c>
      <x:c r="B8" s="19" t="n">
        <x:v>1933</x:v>
      </x:c>
      <x:c r="C8" s="30" t="n">
        <x:v>11</x:v>
      </x:c>
      <x:c r="D8" s="30" t="n">
        <x:v>7.2</x:v>
      </x:c>
      <x:c r="E8" s="30" t="n">
        <x:v>2.1</x:v>
      </x:c>
      <x:c r="F8" s="30" t="n">
        <x:v>2</x:v>
      </x:c>
      <x:c r="G8" s="30" t="n">
        <x:v>8.6</x:v>
      </x:c>
      <x:c r="H8" s="30" t="n">
        <x:v>1.5</x:v>
      </x:c>
      <x:c r="I8" s="30" t="n">
        <x:v>0.6</x:v>
      </x:c>
      <x:c r="J8" s="30" t="n">
        <x:v>4.5</x:v>
      </x:c>
      <x:c r="K8" s="2"/>
      <x:c r="L8" s="2"/>
      <x:c r="M8" s="2"/>
      <x:c r="N8" s="2"/>
    </x:row>
    <x:row r="9" ht="22" customHeight="1">
      <x:c r="A9" s="31" t="str">
        <x:v>agrarni</x:v>
      </x:c>
      <x:c r="B9" s="22" t="n">
        <x:v>1934</x:v>
      </x:c>
      <x:c r="C9" s="32" t="n">
        <x:v>10.5</x:v>
      </x:c>
      <x:c r="D9" s="32" t="n">
        <x:v>6.3</x:v>
      </x:c>
      <x:c r="E9" s="32" t="n">
        <x:v>2.9</x:v>
      </x:c>
      <x:c r="F9" s="32" t="n">
        <x:v>1.8</x:v>
      </x:c>
      <x:c r="G9" s="32" t="n">
        <x:v>7.9</x:v>
      </x:c>
      <x:c r="H9" s="32" t="n">
        <x:v>1.5</x:v>
      </x:c>
      <x:c r="I9" s="32" t="n">
        <x:v>0.6</x:v>
      </x:c>
      <x:c r="J9" s="32" t="n">
        <x:v>4.4</x:v>
      </x:c>
      <x:c r="K9" s="2"/>
      <x:c r="L9" s="2"/>
      <x:c r="M9" s="2"/>
      <x:c r="N9" s="2"/>
    </x:row>
    <x:row r="10" ht="22" customHeight="1">
      <x:c r="A10" s="29" t="str">
        <x:v>agrarni</x:v>
      </x:c>
      <x:c r="B10" s="19" t="n">
        <x:v>1935</x:v>
      </x:c>
      <x:c r="C10" s="30" t="n">
        <x:v>9.9</x:v>
      </x:c>
      <x:c r="D10" s="30" t="n">
        <x:v>6.6</x:v>
      </x:c>
      <x:c r="E10" s="30" t="n">
        <x:v>3.3</x:v>
      </x:c>
      <x:c r="F10" s="30" t="n">
        <x:v>1.8</x:v>
      </x:c>
      <x:c r="G10" s="30" t="n">
        <x:v>8.1</x:v>
      </x:c>
      <x:c r="H10" s="30" t="n">
        <x:v>1.8</x:v>
      </x:c>
      <x:c r="I10" s="30" t="n">
        <x:v>0.6</x:v>
      </x:c>
      <x:c r="J10" s="30" t="n">
        <x:v>3.8</x:v>
      </x:c>
      <x:c r="K10" s="2"/>
      <x:c r="L10" s="2"/>
      <x:c r="M10" s="2"/>
      <x:c r="N10" s="2"/>
    </x:row>
    <x:row r="11" ht="22" customHeight="1">
      <x:c r="A11" s="31" t="str">
        <x:v>agrarni</x:v>
      </x:c>
      <x:c r="B11" s="22" t="n">
        <x:v>1936</x:v>
      </x:c>
      <x:c r="C11" s="32" t="n">
        <x:v>10.2</x:v>
      </x:c>
      <x:c r="D11" s="32" t="n">
        <x:v>5.4</x:v>
      </x:c>
      <x:c r="E11" s="32" t="n">
        <x:v>3.7</x:v>
      </x:c>
      <x:c r="F11" s="32" t="n">
        <x:v>2</x:v>
      </x:c>
      <x:c r="G11" s="32" t="n">
        <x:v>8.2</x:v>
      </x:c>
      <x:c r="H11" s="32" t="n">
        <x:v>2.9</x:v>
      </x:c>
      <x:c r="I11" s="32" t="n">
        <x:v>0.5</x:v>
      </x:c>
      <x:c r="J11" s="32" t="n">
        <x:v>1.7</x:v>
      </x:c>
      <x:c r="K11" s="2"/>
      <x:c r="L11" s="2"/>
      <x:c r="M11" s="2"/>
      <x:c r="N11" s="2"/>
    </x:row>
    <x:row r="12" ht="22" customHeight="1">
      <x:c r="A12" s="29" t="str">
        <x:v>agrarni</x:v>
      </x:c>
      <x:c r="B12" s="19" t="n">
        <x:v>1937</x:v>
      </x:c>
      <x:c r="C12" s="30" t="n">
        <x:v>12.2</x:v>
      </x:c>
      <x:c r="D12" s="30" t="n">
        <x:v>5.9</x:v>
      </x:c>
      <x:c r="E12" s="30" t="n">
        <x:v>3</x:v>
      </x:c>
      <x:c r="F12" s="30" t="n">
        <x:v>2.1</x:v>
      </x:c>
      <x:c r="G12" s="30" t="n">
        <x:v>8.4</x:v>
      </x:c>
      <x:c r="H12" s="30" t="n">
        <x:v>2.2</x:v>
      </x:c>
      <x:c r="I12" s="30" t="n">
        <x:v>0.6</x:v>
      </x:c>
      <x:c r="J12" s="30" t="n">
        <x:v>3.7</x:v>
      </x:c>
      <x:c r="K12" s="2"/>
      <x:c r="L12" s="2"/>
      <x:c r="M12" s="2"/>
      <x:c r="N12" s="2"/>
    </x:row>
    <x:row r="13" ht="22" customHeight="1">
      <x:c r="A13" s="31" t="str">
        <x:v>lander</x:v>
      </x:c>
      <x:c r="B13" s="22" t="n">
        <x:v>1933</x:v>
      </x:c>
      <x:c r="C13" s="32" t="n">
        <x:v>20.2</x:v>
      </x:c>
      <x:c r="D13" s="32" t="n">
        <x:v>8.2</x:v>
      </x:c>
      <x:c r="E13" s="32" t="n">
        <x:v>5.1</x:v>
      </x:c>
      <x:c r="F13" s="32" t="n">
        <x:v>3.3</x:v>
      </x:c>
      <x:c r="G13" s="32" t="n">
        <x:v>22.6</x:v>
      </x:c>
      <x:c r="H13" s="32" t="n">
        <x:v>1.2</x:v>
      </x:c>
      <x:c r="I13" s="32" t="n">
        <x:v>0.5</x:v>
      </x:c>
      <x:c r="J13" s="32" t="n">
        <x:v>4.5</x:v>
      </x:c>
      <x:c r="K13" s="2"/>
      <x:c r="L13" s="2"/>
      <x:c r="M13" s="2"/>
      <x:c r="N13" s="2"/>
    </x:row>
    <x:row r="14" ht="22" customHeight="1">
      <x:c r="A14" s="29" t="str">
        <x:v>lander</x:v>
      </x:c>
      <x:c r="B14" s="19" t="n">
        <x:v>1934</x:v>
      </x:c>
      <x:c r="C14" s="30" t="n">
        <x:v>15.7</x:v>
      </x:c>
      <x:c r="D14" s="30" t="n">
        <x:v>6.5</x:v>
      </x:c>
      <x:c r="E14" s="30" t="n">
        <x:v>4.1</x:v>
      </x:c>
      <x:c r="F14" s="30" t="n">
        <x:v>3.5</x:v>
      </x:c>
      <x:c r="G14" s="30" t="n">
        <x:v>20.4</x:v>
      </x:c>
      <x:c r="H14" s="30" t="n">
        <x:v>0.7</x:v>
      </x:c>
      <x:c r="I14" s="30" t="n">
        <x:v>0.5</x:v>
      </x:c>
      <x:c r="J14" s="30"/>
      <x:c r="K14" s="2"/>
      <x:c r="L14" s="2"/>
      <x:c r="M14" s="2"/>
      <x:c r="N14" s="2"/>
    </x:row>
    <x:row r="15" ht="22" customHeight="1">
      <x:c r="A15" s="31" t="str">
        <x:v>lander</x:v>
      </x:c>
      <x:c r="B15" s="22" t="n">
        <x:v>1935</x:v>
      </x:c>
      <x:c r="C15" s="32" t="n">
        <x:v>14.5</x:v>
      </x:c>
      <x:c r="D15" s="32" t="n">
        <x:v>6.2</x:v>
      </x:c>
      <x:c r="E15" s="32" t="n">
        <x:v>6.4</x:v>
      </x:c>
      <x:c r="F15" s="32" t="n">
        <x:v>3.5</x:v>
      </x:c>
      <x:c r="G15" s="32" t="n">
        <x:v>20.4</x:v>
      </x:c>
      <x:c r="H15" s="32" t="n">
        <x:v>1.3</x:v>
      </x:c>
      <x:c r="I15" s="32" t="n">
        <x:v>0.5</x:v>
      </x:c>
      <x:c r="J15" s="32"/>
      <x:c r="K15" s="2"/>
      <x:c r="L15" s="2"/>
      <x:c r="M15" s="2"/>
      <x:c r="N15" s="2"/>
    </x:row>
    <x:row r="16" ht="22" customHeight="1">
      <x:c r="A16" s="29" t="str">
        <x:v>lander</x:v>
      </x:c>
      <x:c r="B16" s="19" t="n">
        <x:v>1936</x:v>
      </x:c>
      <x:c r="C16" s="30" t="n">
        <x:v>15.2</x:v>
      </x:c>
      <x:c r="D16" s="30" t="n">
        <x:v>6.1</x:v>
      </x:c>
      <x:c r="E16" s="30" t="n">
        <x:v>7.5</x:v>
      </x:c>
      <x:c r="F16" s="30" t="n">
        <x:v>3.1</x:v>
      </x:c>
      <x:c r="G16" s="30" t="n">
        <x:v>20.5</x:v>
      </x:c>
      <x:c r="H16" s="30" t="n">
        <x:v>2.7</x:v>
      </x:c>
      <x:c r="I16" s="30" t="n">
        <x:v>0.5</x:v>
      </x:c>
      <x:c r="J16" s="30"/>
      <x:c r="K16" s="2"/>
      <x:c r="L16" s="2"/>
      <x:c r="M16" s="2"/>
      <x:c r="N16" s="2"/>
    </x:row>
    <x:row r="17" ht="22" customHeight="1">
      <x:c r="A17" s="31" t="str">
        <x:v>lander</x:v>
      </x:c>
      <x:c r="B17" s="22" t="n">
        <x:v>1937</x:v>
      </x:c>
      <x:c r="C17" s="32" t="n">
        <x:v>19.1</x:v>
      </x:c>
      <x:c r="D17" s="32" t="n">
        <x:v>8.8</x:v>
      </x:c>
      <x:c r="E17" s="32" t="n">
        <x:v>5.3</x:v>
      </x:c>
      <x:c r="F17" s="32" t="n">
        <x:v>3.5</x:v>
      </x:c>
      <x:c r="G17" s="32" t="n">
        <x:v>21</x:v>
      </x:c>
      <x:c r="H17" s="32" t="n">
        <x:v>3.4</x:v>
      </x:c>
      <x:c r="I17" s="32" t="n">
        <x:v>0.5</x:v>
      </x:c>
      <x:c r="J17" s="32"/>
      <x:c r="K17" s="2"/>
      <x:c r="L17" s="2"/>
      <x:c r="M17" s="2"/>
      <x:c r="N17" s="2"/>
    </x:row>
    <x:row r="18" ht="22" customHeight="1">
      <x:c r="A18" s="29" t="str">
        <x:v>ceska</x:v>
      </x:c>
      <x:c r="B18" s="19" t="n">
        <x:v>1933</x:v>
      </x:c>
      <x:c r="C18" s="30" t="n">
        <x:v>6.7</x:v>
      </x:c>
      <x:c r="D18" s="30" t="n">
        <x:v>4.3</x:v>
      </x:c>
      <x:c r="E18" s="30" t="n">
        <x:v>2.2</x:v>
      </x:c>
      <x:c r="F18" s="30" t="n">
        <x:v>1.2</x:v>
      </x:c>
      <x:c r="G18" s="30" t="n">
        <x:v>6.4</x:v>
      </x:c>
      <x:c r="H18" s="30" t="n">
        <x:v>1.3</x:v>
      </x:c>
      <x:c r="I18" s="30" t="n">
        <x:v>0.3</x:v>
      </x:c>
      <x:c r="J18" s="30" t="n">
        <x:v>2.3</x:v>
      </x:c>
      <x:c r="K18" s="2"/>
      <x:c r="L18" s="2"/>
      <x:c r="M18" s="2"/>
      <x:c r="N18" s="2"/>
    </x:row>
    <x:row r="19" ht="22" customHeight="1">
      <x:c r="A19" s="31" t="str">
        <x:v>ceska</x:v>
      </x:c>
      <x:c r="B19" s="22" t="n">
        <x:v>1934</x:v>
      </x:c>
      <x:c r="C19" s="32" t="n">
        <x:v>5.9</x:v>
      </x:c>
      <x:c r="D19" s="32" t="n">
        <x:v>3.5</x:v>
      </x:c>
      <x:c r="E19" s="32" t="n">
        <x:v>2.2</x:v>
      </x:c>
      <x:c r="F19" s="32" t="n">
        <x:v>1</x:v>
      </x:c>
      <x:c r="G19" s="32" t="n">
        <x:v>5.8</x:v>
      </x:c>
      <x:c r="H19" s="32" t="n">
        <x:v>1.2</x:v>
      </x:c>
      <x:c r="I19" s="32" t="n">
        <x:v>0.3</x:v>
      </x:c>
      <x:c r="J19" s="32" t="n">
        <x:v>1.8</x:v>
      </x:c>
      <x:c r="K19" s="2"/>
      <x:c r="L19" s="2"/>
      <x:c r="M19" s="2"/>
      <x:c r="N19" s="2"/>
    </x:row>
    <x:row r="20" ht="22" customHeight="1">
      <x:c r="A20" s="29" t="str">
        <x:v>ceska</x:v>
      </x:c>
      <x:c r="B20" s="19" t="n">
        <x:v>1935</x:v>
      </x:c>
      <x:c r="C20" s="30" t="n">
        <x:v>6</x:v>
      </x:c>
      <x:c r="D20" s="30" t="n">
        <x:v>3.5</x:v>
      </x:c>
      <x:c r="E20" s="30" t="n">
        <x:v>3</x:v>
      </x:c>
      <x:c r="F20" s="30" t="n">
        <x:v>1.1</x:v>
      </x:c>
      <x:c r="G20" s="30" t="n">
        <x:v>5.7</x:v>
      </x:c>
      <x:c r="H20" s="30" t="n">
        <x:v>1.2</x:v>
      </x:c>
      <x:c r="I20" s="30" t="n">
        <x:v>0.3</x:v>
      </x:c>
      <x:c r="J20" s="30" t="n">
        <x:v>2.2</x:v>
      </x:c>
      <x:c r="K20" s="2"/>
      <x:c r="L20" s="2"/>
      <x:c r="M20" s="2"/>
      <x:c r="N20" s="2"/>
    </x:row>
    <x:row r="21" ht="22" customHeight="1">
      <x:c r="A21" s="31" t="str">
        <x:v>ceska</x:v>
      </x:c>
      <x:c r="B21" s="22" t="n">
        <x:v>1936</x:v>
      </x:c>
      <x:c r="C21" s="32" t="n">
        <x:v>5.5</x:v>
      </x:c>
      <x:c r="D21" s="32" t="n">
        <x:v>3.6</x:v>
      </x:c>
      <x:c r="E21" s="32" t="n">
        <x:v>3</x:v>
      </x:c>
      <x:c r="F21" s="32" t="n">
        <x:v>0.9</x:v>
      </x:c>
      <x:c r="G21" s="32" t="n">
        <x:v>5.5</x:v>
      </x:c>
      <x:c r="H21" s="32" t="n">
        <x:v>1.2</x:v>
      </x:c>
      <x:c r="I21" s="32" t="n">
        <x:v>0.3</x:v>
      </x:c>
      <x:c r="J21" s="32" t="n">
        <x:v>2.1</x:v>
      </x:c>
      <x:c r="K21" s="2"/>
      <x:c r="L21" s="2"/>
      <x:c r="M21" s="2"/>
      <x:c r="N21" s="2"/>
    </x:row>
    <x:row r="22" ht="22" customHeight="1">
      <x:c r="A22" s="29" t="str">
        <x:v>ceska</x:v>
      </x:c>
      <x:c r="B22" s="19" t="n">
        <x:v>1937</x:v>
      </x:c>
      <x:c r="C22" s="30" t="n">
        <x:v>6.9</x:v>
      </x:c>
      <x:c r="D22" s="30" t="n">
        <x:v>3.8</x:v>
      </x:c>
      <x:c r="E22" s="30" t="n">
        <x:v>3.1</x:v>
      </x:c>
      <x:c r="F22" s="30" t="n">
        <x:v>0.9</x:v>
      </x:c>
      <x:c r="G22" s="30" t="n">
        <x:v>5.4</x:v>
      </x:c>
      <x:c r="H22" s="30" t="n">
        <x:v>1.2</x:v>
      </x:c>
      <x:c r="I22" s="30" t="n">
        <x:v>0.4</x:v>
      </x:c>
      <x:c r="J22" s="30" t="n">
        <x:v>3.8</x:v>
      </x:c>
      <x:c r="K22" s="2"/>
      <x:c r="L22" s="2"/>
      <x:c r="M22" s="2"/>
      <x:c r="N22" s="2"/>
    </x:row>
    <x:row r="23" ht="22" customHeight="1">
      <x:c r="A23" s="31" t="str">
        <x:v>union</x:v>
      </x:c>
      <x:c r="B23" s="22" t="n">
        <x:v>1933</x:v>
      </x:c>
      <x:c r="C23" s="32" t="n">
        <x:v>46</x:v>
      </x:c>
      <x:c r="D23" s="32" t="n">
        <x:v>26.2</x:v>
      </x:c>
      <x:c r="E23" s="32" t="n">
        <x:v>7.7</x:v>
      </x:c>
      <x:c r="F23" s="32" t="n">
        <x:v>9.3</x:v>
      </x:c>
      <x:c r="G23" s="32" t="n">
        <x:v>65.8</x:v>
      </x:c>
      <x:c r="H23" s="32" t="n">
        <x:v>1.9</x:v>
      </x:c>
      <x:c r="I23" s="32" t="n">
        <x:v>1.5</x:v>
      </x:c>
      <x:c r="J23" s="32"/>
      <x:c r="K23" s="2"/>
      <x:c r="L23" s="2"/>
      <x:c r="M23" s="2"/>
      <x:c r="N23" s="2"/>
    </x:row>
    <x:row r="24" ht="22" customHeight="1">
      <x:c r="A24" s="29" t="str">
        <x:v>union</x:v>
      </x:c>
      <x:c r="B24" s="19" t="n">
        <x:v>1934</x:v>
      </x:c>
      <x:c r="C24" s="30" t="n">
        <x:v>40.3</x:v>
      </x:c>
      <x:c r="D24" s="30" t="n">
        <x:v>23.7</x:v>
      </x:c>
      <x:c r="E24" s="30" t="n">
        <x:v>10.2</x:v>
      </x:c>
      <x:c r="F24" s="30" t="n">
        <x:v>8.4</x:v>
      </x:c>
      <x:c r="G24" s="30" t="n">
        <x:v>61.4</x:v>
      </x:c>
      <x:c r="H24" s="30" t="n">
        <x:v>1.7</x:v>
      </x:c>
      <x:c r="I24" s="30" t="n">
        <x:v>0.9</x:v>
      </x:c>
      <x:c r="J24" s="30"/>
      <x:c r="K24" s="2"/>
      <x:c r="L24" s="2"/>
      <x:c r="M24" s="2"/>
      <x:c r="N24" s="2"/>
    </x:row>
    <x:row r="25" ht="22" customHeight="1">
      <x:c r="A25" s="31" t="str">
        <x:v>union</x:v>
      </x:c>
      <x:c r="B25" s="22" t="n">
        <x:v>1935</x:v>
      </x:c>
      <x:c r="C25" s="32" t="n">
        <x:v>37.5</x:v>
      </x:c>
      <x:c r="D25" s="32" t="n">
        <x:v>25</x:v>
      </x:c>
      <x:c r="E25" s="32" t="n">
        <x:v>14.7</x:v>
      </x:c>
      <x:c r="F25" s="32" t="n">
        <x:v>7.7</x:v>
      </x:c>
      <x:c r="G25" s="32" t="n">
        <x:v>59.2</x:v>
      </x:c>
      <x:c r="H25" s="32" t="n">
        <x:v>2</x:v>
      </x:c>
      <x:c r="I25" s="32" t="n">
        <x:v>1.1</x:v>
      </x:c>
      <x:c r="J25" s="32"/>
      <x:c r="K25" s="2"/>
      <x:c r="L25" s="2"/>
      <x:c r="M25" s="2"/>
      <x:c r="N25" s="2"/>
    </x:row>
    <x:row r="26" ht="22" customHeight="1">
      <x:c r="A26" s="29" t="str">
        <x:v>union</x:v>
      </x:c>
      <x:c r="B26" s="19" t="n">
        <x:v>1936</x:v>
      </x:c>
      <x:c r="C26" s="30" t="n">
        <x:v>38.9</x:v>
      </x:c>
      <x:c r="D26" s="30" t="n">
        <x:v>25.1</x:v>
      </x:c>
      <x:c r="E26" s="30" t="n">
        <x:v>15.3</x:v>
      </x:c>
      <x:c r="F26" s="30" t="n">
        <x:v>7.6</x:v>
      </x:c>
      <x:c r="G26" s="30" t="n">
        <x:v>57.2</x:v>
      </x:c>
      <x:c r="H26" s="30" t="n">
        <x:v>2.4</x:v>
      </x:c>
      <x:c r="I26" s="30" t="n">
        <x:v>1.4</x:v>
      </x:c>
      <x:c r="J26" s="30"/>
      <x:c r="K26" s="2"/>
      <x:c r="L26" s="2"/>
      <x:c r="M26" s="2"/>
      <x:c r="N26" s="2"/>
    </x:row>
    <x:row r="27" ht="22" customHeight="1">
      <x:c r="A27" s="31" t="str">
        <x:v>union</x:v>
      </x:c>
      <x:c r="B27" s="22" t="n">
        <x:v>1937</x:v>
      </x:c>
      <x:c r="C27" s="32" t="n">
        <x:v>44.9</x:v>
      </x:c>
      <x:c r="D27" s="32" t="n">
        <x:v>29.1</x:v>
      </x:c>
      <x:c r="E27" s="32" t="n">
        <x:v>10.2</x:v>
      </x:c>
      <x:c r="F27" s="32" t="n">
        <x:v>8</x:v>
      </x:c>
      <x:c r="G27" s="32" t="n">
        <x:v>60.4</x:v>
      </x:c>
      <x:c r="H27" s="32" t="n">
        <x:v>6.3</x:v>
      </x:c>
      <x:c r="I27" s="32" t="n">
        <x:v>1.2</x:v>
      </x:c>
      <x:c r="J27" s="32"/>
      <x:c r="K27" s="2"/>
      <x:c r="L27" s="2"/>
      <x:c r="M27" s="2"/>
      <x:c r="N27" s="2"/>
    </x:row>
    <x:row r="28" ht="22" customHeight="1">
      <x:c r="A28" s="29" t="str">
        <x:v>escomp</x:v>
      </x:c>
      <x:c r="B28" s="19" t="n">
        <x:v>1933</x:v>
      </x:c>
      <x:c r="C28" s="30" t="n">
        <x:v>48.8</x:v>
      </x:c>
      <x:c r="D28" s="30" t="n">
        <x:v>17</x:v>
      </x:c>
      <x:c r="E28" s="30" t="n">
        <x:v>6.5</x:v>
      </x:c>
      <x:c r="F28" s="30" t="n">
        <x:v>7.6</x:v>
      </x:c>
      <x:c r="G28" s="30" t="n">
        <x:v>54.5</x:v>
      </x:c>
      <x:c r="H28" s="30" t="n">
        <x:v>2</x:v>
      </x:c>
      <x:c r="I28" s="30" t="n">
        <x:v>1.2</x:v>
      </x:c>
      <x:c r="J28" s="30" t="n">
        <x:v>1.3</x:v>
      </x:c>
      <x:c r="K28" s="2"/>
      <x:c r="L28" s="2"/>
      <x:c r="M28" s="2"/>
      <x:c r="N28" s="2"/>
    </x:row>
    <x:row r="29" ht="22" customHeight="1">
      <x:c r="A29" s="31" t="str">
        <x:v>escomp</x:v>
      </x:c>
      <x:c r="B29" s="22" t="n">
        <x:v>1934</x:v>
      </x:c>
      <x:c r="C29" s="32" t="n">
        <x:v>41.5</x:v>
      </x:c>
      <x:c r="D29" s="32" t="n">
        <x:v>16.4</x:v>
      </x:c>
      <x:c r="E29" s="32" t="n">
        <x:v>11.1</x:v>
      </x:c>
      <x:c r="F29" s="32" t="n">
        <x:v>7.2</x:v>
      </x:c>
      <x:c r="G29" s="32" t="n">
        <x:v>48.9</x:v>
      </x:c>
      <x:c r="H29" s="32" t="n">
        <x:v>2.2</x:v>
      </x:c>
      <x:c r="I29" s="32" t="n">
        <x:v>2.6</x:v>
      </x:c>
      <x:c r="J29" s="32" t="n">
        <x:v>0.9</x:v>
      </x:c>
      <x:c r="K29" s="2"/>
      <x:c r="L29" s="2"/>
      <x:c r="M29" s="2"/>
      <x:c r="N29" s="2"/>
    </x:row>
    <x:row r="30" ht="22" customHeight="1">
      <x:c r="A30" s="29" t="str">
        <x:v>escomp</x:v>
      </x:c>
      <x:c r="B30" s="19" t="n">
        <x:v>1935</x:v>
      </x:c>
      <x:c r="C30" s="30" t="n">
        <x:v>32.5</x:v>
      </x:c>
      <x:c r="D30" s="30" t="n">
        <x:v>16.1</x:v>
      </x:c>
      <x:c r="E30" s="30" t="n">
        <x:v>13.9</x:v>
      </x:c>
      <x:c r="F30" s="30" t="n">
        <x:v>6.7</x:v>
      </x:c>
      <x:c r="G30" s="30" t="n">
        <x:v>47.1</x:v>
      </x:c>
      <x:c r="H30" s="30" t="n">
        <x:v>2.1</x:v>
      </x:c>
      <x:c r="I30" s="30" t="n">
        <x:v>2.6</x:v>
      </x:c>
      <x:c r="J30" s="30" t="n">
        <x:v>0.7</x:v>
      </x:c>
      <x:c r="K30" s="2"/>
      <x:c r="L30" s="2"/>
      <x:c r="M30" s="2"/>
      <x:c r="N30" s="2"/>
    </x:row>
    <x:row r="31" ht="22" customHeight="1">
      <x:c r="A31" s="31" t="str">
        <x:v>escomp</x:v>
      </x:c>
      <x:c r="B31" s="22" t="n">
        <x:v>1936</x:v>
      </x:c>
      <x:c r="C31" s="32" t="n">
        <x:v>30.7</x:v>
      </x:c>
      <x:c r="D31" s="32" t="n">
        <x:v>14.7</x:v>
      </x:c>
      <x:c r="E31" s="32" t="n">
        <x:v>17.5</x:v>
      </x:c>
      <x:c r="F31" s="32" t="n">
        <x:v>6.6</x:v>
      </x:c>
      <x:c r="G31" s="32" t="n">
        <x:v>47.5</x:v>
      </x:c>
      <x:c r="H31" s="32" t="n">
        <x:v>1.8</x:v>
      </x:c>
      <x:c r="I31" s="32" t="n">
        <x:v>2.6</x:v>
      </x:c>
      <x:c r="J31" s="32" t="n">
        <x:v>0.8</x:v>
      </x:c>
      <x:c r="K31" s="2"/>
      <x:c r="L31" s="2"/>
      <x:c r="M31" s="2"/>
      <x:c r="N31" s="2"/>
    </x:row>
    <x:row r="32" ht="22" customHeight="1">
      <x:c r="A32" s="29" t="str">
        <x:v>escomp</x:v>
      </x:c>
      <x:c r="B32" s="19" t="n">
        <x:v>1937</x:v>
      </x:c>
      <x:c r="C32" s="30" t="n">
        <x:v>39.9</x:v>
      </x:c>
      <x:c r="D32" s="30" t="n">
        <x:v>20.1</x:v>
      </x:c>
      <x:c r="E32" s="30" t="n">
        <x:v>12.3</x:v>
      </x:c>
      <x:c r="F32" s="30" t="n">
        <x:v>7.1</x:v>
      </x:c>
      <x:c r="G32" s="30" t="n">
        <x:v>50</x:v>
      </x:c>
      <x:c r="H32" s="30" t="n">
        <x:v>4.3</x:v>
      </x:c>
      <x:c r="I32" s="30" t="n">
        <x:v>2.2</x:v>
      </x:c>
      <x:c r="J32" s="30" t="n">
        <x:v>0.8</x:v>
      </x:c>
      <x:c r="K32" s="2"/>
      <x:c r="L32" s="2"/>
      <x:c r="M32" s="2"/>
      <x:c r="N32" s="2"/>
    </x:row>
    <x:row r="33" ht="22" customHeight="1">
      <x:c r="A33" s="31" t="str">
        <x:v>prumyslova</x:v>
      </x:c>
      <x:c r="B33" s="22" t="n">
        <x:v>1933</x:v>
      </x:c>
      <x:c r="C33" s="32" t="n">
        <x:v>14.8</x:v>
      </x:c>
      <x:c r="D33" s="32" t="n">
        <x:v>17.1</x:v>
      </x:c>
      <x:c r="E33" s="32" t="n">
        <x:v>5.7</x:v>
      </x:c>
      <x:c r="F33" s="32" t="n">
        <x:v>3.8</x:v>
      </x:c>
      <x:c r="G33" s="32" t="n">
        <x:v>29.6</x:v>
      </x:c>
      <x:c r="H33" s="32" t="n">
        <x:v>1.9</x:v>
      </x:c>
      <x:c r="I33" s="32" t="n">
        <x:v>0.7</x:v>
      </x:c>
      <x:c r="J33" s="32" t="n">
        <x:v>1</x:v>
      </x:c>
      <x:c r="K33" s="2"/>
      <x:c r="L33" s="2"/>
      <x:c r="M33" s="2"/>
      <x:c r="N33" s="2"/>
    </x:row>
    <x:row r="34" ht="22" customHeight="1">
      <x:c r="A34" s="29" t="str">
        <x:v>prumyslova</x:v>
      </x:c>
      <x:c r="B34" s="19" t="n">
        <x:v>1934</x:v>
      </x:c>
      <x:c r="C34" s="30" t="n">
        <x:v>13.7</x:v>
      </x:c>
      <x:c r="D34" s="30" t="n">
        <x:v>16.4</x:v>
      </x:c>
      <x:c r="E34" s="30" t="n">
        <x:v>6.5</x:v>
      </x:c>
      <x:c r="F34" s="30" t="n">
        <x:v>3.4</x:v>
      </x:c>
      <x:c r="G34" s="30" t="n">
        <x:v>27.6</x:v>
      </x:c>
      <x:c r="H34" s="30" t="n">
        <x:v>1.8</x:v>
      </x:c>
      <x:c r="I34" s="30" t="n">
        <x:v>1</x:v>
      </x:c>
      <x:c r="J34" s="30" t="n">
        <x:v>1.5</x:v>
      </x:c>
      <x:c r="K34" s="2"/>
      <x:c r="L34" s="2"/>
      <x:c r="M34" s="2"/>
      <x:c r="N34" s="2"/>
    </x:row>
    <x:row r="35" ht="22" customHeight="1">
      <x:c r="A35" s="31" t="str">
        <x:v>prumyslova</x:v>
      </x:c>
      <x:c r="B35" s="22" t="n">
        <x:v>1935</x:v>
      </x:c>
      <x:c r="C35" s="32" t="n">
        <x:v>11.3</x:v>
      </x:c>
      <x:c r="D35" s="32" t="n">
        <x:v>16.1</x:v>
      </x:c>
      <x:c r="E35" s="32" t="n">
        <x:v>7.2</x:v>
      </x:c>
      <x:c r="F35" s="32" t="n">
        <x:v>2.6</x:v>
      </x:c>
      <x:c r="G35" s="32" t="n">
        <x:v>26.9</x:v>
      </x:c>
      <x:c r="H35" s="32" t="n">
        <x:v>1.5</x:v>
      </x:c>
      <x:c r="I35" s="32" t="n">
        <x:v>0.9</x:v>
      </x:c>
      <x:c r="J35" s="32" t="n">
        <x:v>1.3</x:v>
      </x:c>
      <x:c r="K35" s="2"/>
      <x:c r="L35" s="2"/>
      <x:c r="M35" s="2"/>
      <x:c r="N35" s="2"/>
    </x:row>
    <x:row r="36" ht="22" customHeight="1">
      <x:c r="A36" s="29" t="str">
        <x:v>prumyslova</x:v>
      </x:c>
      <x:c r="B36" s="19" t="n">
        <x:v>1936</x:v>
      </x:c>
      <x:c r="C36" s="30" t="n">
        <x:v>11.2</x:v>
      </x:c>
      <x:c r="D36" s="30" t="n">
        <x:v>15.1</x:v>
      </x:c>
      <x:c r="E36" s="30" t="n">
        <x:v>7.8</x:v>
      </x:c>
      <x:c r="F36" s="30" t="n">
        <x:v>2.4</x:v>
      </x:c>
      <x:c r="G36" s="30" t="n">
        <x:v>26.6</x:v>
      </x:c>
      <x:c r="H36" s="30" t="n">
        <x:v>1.1</x:v>
      </x:c>
      <x:c r="I36" s="30" t="n">
        <x:v>1.5</x:v>
      </x:c>
      <x:c r="J36" s="30" t="n">
        <x:v>1.1</x:v>
      </x:c>
      <x:c r="K36" s="2"/>
      <x:c r="L36" s="2"/>
      <x:c r="M36" s="2"/>
      <x:c r="N36" s="2"/>
    </x:row>
    <x:row r="37" ht="22" customHeight="1">
      <x:c r="A37" s="31" t="str">
        <x:v>prumyslova</x:v>
      </x:c>
      <x:c r="B37" s="22" t="n">
        <x:v>1937</x:v>
      </x:c>
      <x:c r="C37" s="32" t="n">
        <x:v>13</x:v>
      </x:c>
      <x:c r="D37" s="32" t="n">
        <x:v>15.2</x:v>
      </x:c>
      <x:c r="E37" s="32" t="n">
        <x:v>7.8</x:v>
      </x:c>
      <x:c r="F37" s="32" t="n">
        <x:v>2.6</x:v>
      </x:c>
      <x:c r="G37" s="32" t="n">
        <x:v>27.1</x:v>
      </x:c>
      <x:c r="H37" s="32" t="n">
        <x:v>1.3</x:v>
      </x:c>
      <x:c r="I37" s="32" t="n">
        <x:v>1.6</x:v>
      </x:c>
      <x:c r="J37" s="32" t="n">
        <x:v>1.1</x:v>
      </x:c>
      <x:c r="K37" s="2"/>
      <x:c r="L37" s="2"/>
      <x:c r="M37" s="2"/>
      <x:c r="N37" s="2"/>
    </x:row>
    <x:row r="38" ht="22" customHeight="1">
      <x:c r="A38" s="29" t="str">
        <x:v>moravska</x:v>
      </x:c>
      <x:c r="B38" s="19" t="n">
        <x:v>1933</x:v>
      </x:c>
      <x:c r="C38" s="30" t="n">
        <x:v>3.9</x:v>
      </x:c>
      <x:c r="D38" s="30" t="n">
        <x:v>8.83</x:v>
      </x:c>
      <x:c r="E38" s="30" t="n">
        <x:v>3.24</x:v>
      </x:c>
      <x:c r="F38" s="30" t="n">
        <x:v>0.85</x:v>
      </x:c>
      <x:c r="G38" s="30" t="n">
        <x:v>11.87</x:v>
      </x:c>
      <x:c r="H38" s="30" t="n">
        <x:v>1.62</x:v>
      </x:c>
      <x:c r="I38" s="30" t="n">
        <x:v>0.96</x:v>
      </x:c>
      <x:c r="J38" s="30" t="n">
        <x:v>0.51</x:v>
      </x:c>
      <x:c r="K38" s="2"/>
      <x:c r="L38" s="2"/>
      <x:c r="M38" s="2"/>
      <x:c r="N38" s="2"/>
    </x:row>
    <x:row r="39" ht="22" customHeight="1">
      <x:c r="A39" s="31" t="str">
        <x:v>moravska</x:v>
      </x:c>
      <x:c r="B39" s="22" t="n">
        <x:v>1934</x:v>
      </x:c>
      <x:c r="C39" s="32" t="n">
        <x:v>9.9</x:v>
      </x:c>
      <x:c r="D39" s="32" t="n">
        <x:v>8.52</x:v>
      </x:c>
      <x:c r="E39" s="32" t="n">
        <x:v>3.05</x:v>
      </x:c>
      <x:c r="F39" s="32" t="n">
        <x:v>0.84</x:v>
      </x:c>
      <x:c r="G39" s="32" t="n">
        <x:v>11.15</x:v>
      </x:c>
      <x:c r="H39" s="32" t="n">
        <x:v>1.13</x:v>
      </x:c>
      <x:c r="I39" s="32" t="n">
        <x:v>0.99</x:v>
      </x:c>
      <x:c r="J39" s="32" t="n">
        <x:v>6.15</x:v>
      </x:c>
      <x:c r="K39" s="2"/>
      <x:c r="L39" s="2"/>
      <x:c r="M39" s="2"/>
      <x:c r="N39" s="2"/>
    </x:row>
    <x:row r="40" ht="22" customHeight="1">
      <x:c r="A40" s="29" t="str">
        <x:v>moravska</x:v>
      </x:c>
      <x:c r="B40" s="19" t="n">
        <x:v>1935</x:v>
      </x:c>
      <x:c r="C40" s="30" t="n">
        <x:v>7.56</x:v>
      </x:c>
      <x:c r="D40" s="30" t="n">
        <x:v>8.24</x:v>
      </x:c>
      <x:c r="E40" s="30" t="n">
        <x:v>3.57</x:v>
      </x:c>
      <x:c r="F40" s="30" t="n">
        <x:v>0.84</x:v>
      </x:c>
      <x:c r="G40" s="30" t="n">
        <x:v>11.14</x:v>
      </x:c>
      <x:c r="H40" s="30" t="n">
        <x:v>1.29</x:v>
      </x:c>
      <x:c r="I40" s="30" t="n">
        <x:v>1.04</x:v>
      </x:c>
      <x:c r="J40" s="30" t="n">
        <x:v>3.58</x:v>
      </x:c>
      <x:c r="K40" s="2"/>
      <x:c r="L40" s="2"/>
      <x:c r="M40" s="2"/>
      <x:c r="N40" s="2"/>
    </x:row>
    <x:row r="41" ht="22" customHeight="1">
      <x:c r="A41" s="31" t="str">
        <x:v>moravska</x:v>
      </x:c>
      <x:c r="B41" s="22" t="n">
        <x:v>1936</x:v>
      </x:c>
      <x:c r="C41" s="32" t="n">
        <x:v>8.4</x:v>
      </x:c>
      <x:c r="D41" s="32" t="n">
        <x:v>8.76</x:v>
      </x:c>
      <x:c r="E41" s="32" t="n">
        <x:v>3.92</x:v>
      </x:c>
      <x:c r="F41" s="32" t="n">
        <x:v>0.79</x:v>
      </x:c>
      <x:c r="G41" s="32" t="n">
        <x:v>11.05</x:v>
      </x:c>
      <x:c r="H41" s="32" t="n">
        <x:v>1.39</x:v>
      </x:c>
      <x:c r="I41" s="32" t="n">
        <x:v>1.43</x:v>
      </x:c>
      <x:c r="J41" s="32" t="n">
        <x:v>4.33</x:v>
      </x:c>
      <x:c r="K41" s="2"/>
      <x:c r="L41" s="2"/>
      <x:c r="M41" s="2"/>
      <x:c r="N41" s="2"/>
    </x:row>
    <x:row r="42" ht="22" customHeight="1">
      <x:c r="A42" s="29" t="str">
        <x:v>moravska</x:v>
      </x:c>
      <x:c r="B42" s="19" t="n">
        <x:v>1937</x:v>
      </x:c>
      <x:c r="C42" s="30" t="n">
        <x:v>11.92</x:v>
      </x:c>
      <x:c r="D42" s="30" t="n">
        <x:v>9.55</x:v>
      </x:c>
      <x:c r="E42" s="30" t="n">
        <x:v>5.07</x:v>
      </x:c>
      <x:c r="F42" s="30" t="n">
        <x:v>0.76</x:v>
      </x:c>
      <x:c r="G42" s="30" t="n">
        <x:v>11.54</x:v>
      </x:c>
      <x:c r="H42" s="30" t="n">
        <x:v>1.42</x:v>
      </x:c>
      <x:c r="I42" s="30" t="n">
        <x:v>3.57</x:v>
      </x:c>
      <x:c r="J42" s="30" t="n">
        <x:v>5.58</x:v>
      </x:c>
      <x:c r="K42" s="2"/>
      <x:c r="L42" s="2"/>
      <x:c r="M42" s="2"/>
      <x:c r="N42" s="2"/>
    </x:row>
    <x:row r="43" ht="22" customHeight="1">
      <x:c r="A43" s="31" t="str">
        <x:v>plzenska</x:v>
      </x:c>
      <x:c r="B43" s="22" t="n">
        <x:v>1933</x:v>
      </x:c>
      <x:c r="C43" s="32" t="n">
        <x:v>3.11</x:v>
      </x:c>
      <x:c r="D43" s="32" t="n">
        <x:v>0.84</x:v>
      </x:c>
      <x:c r="E43" s="32" t="n">
        <x:v>0.19</x:v>
      </x:c>
      <x:c r="F43" s="32" t="n">
        <x:v>0.23</x:v>
      </x:c>
      <x:c r="G43" s="32" t="n">
        <x:v>1.76</x:v>
      </x:c>
      <x:c r="H43" s="32" t="n">
        <x:v>0.87</x:v>
      </x:c>
      <x:c r="I43" s="32" t="n">
        <x:v>0.17</x:v>
      </x:c>
      <x:c r="J43" s="32"/>
      <x:c r="K43" s="2"/>
      <x:c r="L43" s="2"/>
      <x:c r="M43" s="2"/>
      <x:c r="N43" s="2"/>
    </x:row>
    <x:row r="44" ht="22" customHeight="1">
      <x:c r="A44" s="29" t="str">
        <x:v>plzenska</x:v>
      </x:c>
      <x:c r="B44" s="19" t="n">
        <x:v>1934</x:v>
      </x:c>
      <x:c r="C44" s="30" t="n">
        <x:v>2.46</x:v>
      </x:c>
      <x:c r="D44" s="30" t="n">
        <x:v>0.88</x:v>
      </x:c>
      <x:c r="E44" s="30" t="n">
        <x:v>0.26</x:v>
      </x:c>
      <x:c r="F44" s="30" t="n">
        <x:v>0.19</x:v>
      </x:c>
      <x:c r="G44" s="30" t="n">
        <x:v>1.8</x:v>
      </x:c>
      <x:c r="H44" s="30" t="n">
        <x:v>0.31</x:v>
      </x:c>
      <x:c r="I44" s="30" t="n">
        <x:v>0.18</x:v>
      </x:c>
      <x:c r="J44" s="30"/>
      <x:c r="K44" s="2"/>
      <x:c r="L44" s="2"/>
      <x:c r="M44" s="2"/>
      <x:c r="N44" s="2"/>
    </x:row>
    <x:row r="45" ht="22" customHeight="1">
      <x:c r="A45" s="31" t="str">
        <x:v>plzenska</x:v>
      </x:c>
      <x:c r="B45" s="22" t="n">
        <x:v>1935</x:v>
      </x:c>
      <x:c r="C45" s="32" t="n">
        <x:v>2.81</x:v>
      </x:c>
      <x:c r="D45" s="32" t="n">
        <x:v>0.96</x:v>
      </x:c>
      <x:c r="E45" s="32" t="n">
        <x:v>0.25</x:v>
      </x:c>
      <x:c r="F45" s="32" t="n">
        <x:v>0.2</x:v>
      </x:c>
      <x:c r="G45" s="32" t="n">
        <x:v>1.92</x:v>
      </x:c>
      <x:c r="H45" s="32" t="n">
        <x:v>0.31</x:v>
      </x:c>
      <x:c r="I45" s="32" t="n">
        <x:v>0.07</x:v>
      </x:c>
      <x:c r="J45" s="32"/>
      <x:c r="K45" s="2"/>
      <x:c r="L45" s="2"/>
      <x:c r="M45" s="2"/>
      <x:c r="N45" s="2"/>
    </x:row>
    <x:row r="46" ht="22" customHeight="1">
      <x:c r="A46" s="29" t="str">
        <x:v>plzenska</x:v>
      </x:c>
      <x:c r="B46" s="19" t="n">
        <x:v>1936</x:v>
      </x:c>
      <x:c r="C46" s="30" t="n">
        <x:v>3.16</x:v>
      </x:c>
      <x:c r="D46" s="30" t="n">
        <x:v>0.76</x:v>
      </x:c>
      <x:c r="E46" s="30" t="n">
        <x:v>0.66</x:v>
      </x:c>
      <x:c r="F46" s="30" t="n">
        <x:v>0.23</x:v>
      </x:c>
      <x:c r="G46" s="30" t="n">
        <x:v>1.95</x:v>
      </x:c>
      <x:c r="H46" s="30" t="n">
        <x:v>1.13</x:v>
      </x:c>
      <x:c r="I46" s="30" t="n">
        <x:v>0.1</x:v>
      </x:c>
      <x:c r="J46" s="30"/>
      <x:c r="K46" s="2"/>
      <x:c r="L46" s="2"/>
      <x:c r="M46" s="2"/>
      <x:c r="N46" s="2"/>
    </x:row>
    <x:row r="47" ht="22" customHeight="1">
      <x:c r="A47" s="31" t="str">
        <x:v>plzenska</x:v>
      </x:c>
      <x:c r="B47" s="22" t="n">
        <x:v>1937</x:v>
      </x:c>
      <x:c r="C47" s="32" t="n">
        <x:v>5.54</x:v>
      </x:c>
      <x:c r="D47" s="32" t="n">
        <x:v>0.92</x:v>
      </x:c>
      <x:c r="E47" s="32" t="n">
        <x:v>0.28</x:v>
      </x:c>
      <x:c r="F47" s="32" t="n">
        <x:v>0.26</x:v>
      </x:c>
      <x:c r="G47" s="32" t="n">
        <x:v>1.82</x:v>
      </x:c>
      <x:c r="H47" s="32" t="n">
        <x:v>2.87</x:v>
      </x:c>
      <x:c r="I47" s="32" t="n">
        <x:v>0.14</x:v>
      </x:c>
      <x:c r="J47" s="32"/>
      <x:c r="K47" s="2"/>
      <x:c r="L47" s="2"/>
      <x:c r="M47" s="2"/>
      <x:c r="N47" s="2"/>
    </x:row>
    <x:row r="48" ht="22" customHeight="1">
      <x:c r="A48" s="29" t="str">
        <x:v>sporobanka</x:v>
      </x:c>
      <x:c r="B48" s="19" t="n">
        <x:v>1933</x:v>
      </x:c>
      <x:c r="C48" s="30" t="n">
        <x:v>12.62</x:v>
      </x:c>
      <x:c r="D48" s="30" t="n">
        <x:v>2.07</x:v>
      </x:c>
      <x:c r="E48" s="30" t="n">
        <x:v>1.25</x:v>
      </x:c>
      <x:c r="F48" s="30" t="n">
        <x:v>1.06</x:v>
      </x:c>
      <x:c r="G48" s="30" t="n">
        <x:v>7.71</x:v>
      </x:c>
      <x:c r="H48" s="30" t="n">
        <x:v>2.21</x:v>
      </x:c>
      <x:c r="I48" s="30" t="n">
        <x:v>0.36</x:v>
      </x:c>
      <x:c r="J48" s="30" t="n">
        <x:v>0.61</x:v>
      </x:c>
      <x:c r="K48" s="2"/>
      <x:c r="L48" s="2"/>
      <x:c r="M48" s="2"/>
      <x:c r="N48" s="2"/>
    </x:row>
    <x:row r="49" ht="22" customHeight="1">
      <x:c r="A49" s="31" t="str">
        <x:v>sporobanka</x:v>
      </x:c>
      <x:c r="B49" s="22" t="n">
        <x:v>1934</x:v>
      </x:c>
      <x:c r="C49" s="32" t="n">
        <x:v>10.92</x:v>
      </x:c>
      <x:c r="D49" s="32" t="n">
        <x:v>2.25</x:v>
      </x:c>
      <x:c r="E49" s="32" t="n">
        <x:v>2.42</x:v>
      </x:c>
      <x:c r="F49" s="32" t="n">
        <x:v>1.21</x:v>
      </x:c>
      <x:c r="G49" s="32" t="n">
        <x:v>7.61</x:v>
      </x:c>
      <x:c r="H49" s="32" t="n">
        <x:v>1.64</x:v>
      </x:c>
      <x:c r="I49" s="32" t="n">
        <x:v>1.15</x:v>
      </x:c>
      <x:c r="J49" s="32"/>
      <x:c r="K49" s="2"/>
      <x:c r="L49" s="2"/>
      <x:c r="M49" s="2"/>
      <x:c r="N49" s="2"/>
    </x:row>
    <x:row r="50" ht="22" customHeight="1">
      <x:c r="A50" s="29" t="str">
        <x:v>sporobanka</x:v>
      </x:c>
      <x:c r="B50" s="19" t="n">
        <x:v>1935</x:v>
      </x:c>
      <x:c r="C50" s="30" t="n">
        <x:v>10.05</x:v>
      </x:c>
      <x:c r="D50" s="30" t="n">
        <x:v>2.27</x:v>
      </x:c>
      <x:c r="E50" s="30" t="n">
        <x:v>2.79</x:v>
      </x:c>
      <x:c r="F50" s="30" t="n">
        <x:v>1.21</x:v>
      </x:c>
      <x:c r="G50" s="30" t="n">
        <x:v>7.73</x:v>
      </x:c>
      <x:c r="H50" s="30" t="n">
        <x:v>1.81</x:v>
      </x:c>
      <x:c r="I50" s="30" t="n">
        <x:v>0.39</x:v>
      </x:c>
      <x:c r="J50" s="30"/>
      <x:c r="K50" s="2"/>
      <x:c r="L50" s="2"/>
      <x:c r="M50" s="2"/>
      <x:c r="N50" s="2"/>
    </x:row>
    <x:row r="51" ht="22" customHeight="1">
      <x:c r="A51" s="31" t="str">
        <x:v>sporobanka</x:v>
      </x:c>
      <x:c r="B51" s="22" t="n">
        <x:v>1936</x:v>
      </x:c>
      <x:c r="C51" s="32" t="n">
        <x:v>9.86</x:v>
      </x:c>
      <x:c r="D51" s="32" t="n">
        <x:v>3.01</x:v>
      </x:c>
      <x:c r="E51" s="32" t="n">
        <x:v>3.45</x:v>
      </x:c>
      <x:c r="F51" s="32" t="n">
        <x:v>1.16</x:v>
      </x:c>
      <x:c r="G51" s="32" t="n">
        <x:v>7.73</x:v>
      </x:c>
      <x:c r="H51" s="32" t="n">
        <x:v>3.02</x:v>
      </x:c>
      <x:c r="I51" s="32" t="n">
        <x:v>0.4</x:v>
      </x:c>
      <x:c r="J51" s="32"/>
      <x:c r="K51" s="2"/>
      <x:c r="L51" s="2"/>
      <x:c r="M51" s="2"/>
      <x:c r="N51" s="2"/>
    </x:row>
    <x:row r="52" ht="22" customHeight="1">
      <x:c r="A52" s="29" t="str">
        <x:v>sporobanka</x:v>
      </x:c>
      <x:c r="B52" s="19" t="n">
        <x:v>1937</x:v>
      </x:c>
      <x:c r="C52" s="30" t="n">
        <x:v>11.46</x:v>
      </x:c>
      <x:c r="D52" s="30" t="n">
        <x:v>2.37</x:v>
      </x:c>
      <x:c r="E52" s="30" t="n">
        <x:v>3.76</x:v>
      </x:c>
      <x:c r="F52" s="30" t="n">
        <x:v>1.35</x:v>
      </x:c>
      <x:c r="G52" s="30" t="n">
        <x:v>8.06</x:v>
      </x:c>
      <x:c r="H52" s="30" t="n">
        <x:v>2.69</x:v>
      </x:c>
      <x:c r="I52" s="30" t="n">
        <x:v>0.36</x:v>
      </x:c>
      <x:c r="J52" s="30"/>
      <x:c r="K52" s="2"/>
      <x:c r="L52" s="2"/>
      <x:c r="M52" s="2"/>
      <x:c r="N52" s="2"/>
    </x:row>
    <x:row r="53" ht="22" customHeight="1">
      <x:c r="A53" s="31" t="str">
        <x:v>zivno</x:v>
      </x:c>
      <x:c r="B53" s="22" t="n">
        <x:v>1933</x:v>
      </x:c>
      <x:c r="C53" s="32" t="n">
        <x:v>48.7</x:v>
      </x:c>
      <x:c r="D53" s="32" t="n">
        <x:v>37.2</x:v>
      </x:c>
      <x:c r="E53" s="32" t="n">
        <x:v>9.3</x:v>
      </x:c>
      <x:c r="F53" s="32" t="n">
        <x:v>8.5</x:v>
      </x:c>
      <x:c r="G53" s="32" t="n">
        <x:v>65.8</x:v>
      </x:c>
      <x:c r="H53" s="32" t="n">
        <x:v>5.8</x:v>
      </x:c>
      <x:c r="I53" s="32" t="n">
        <x:v>1.4</x:v>
      </x:c>
      <x:c r="J53" s="32"/>
      <x:c r="K53" s="2"/>
      <x:c r="L53" s="2"/>
      <x:c r="M53" s="2"/>
      <x:c r="N53" s="2"/>
    </x:row>
    <x:row r="54" ht="22" customHeight="1">
      <x:c r="A54" s="29" t="str">
        <x:v>zivno</x:v>
      </x:c>
      <x:c r="B54" s="19" t="n">
        <x:v>1934</x:v>
      </x:c>
      <x:c r="C54" s="30" t="n">
        <x:v>43.7</x:v>
      </x:c>
      <x:c r="D54" s="30" t="n">
        <x:v>35.1</x:v>
      </x:c>
      <x:c r="E54" s="30" t="n">
        <x:v>22.7</x:v>
      </x:c>
      <x:c r="F54" s="30" t="n">
        <x:v>7.3</x:v>
      </x:c>
      <x:c r="G54" s="30" t="n">
        <x:v>64.1</x:v>
      </x:c>
      <x:c r="H54" s="30" t="n">
        <x:v>7.2</x:v>
      </x:c>
      <x:c r="I54" s="30" t="n">
        <x:v>1.5</x:v>
      </x:c>
      <x:c r="J54" s="30" t="n">
        <x:v>5</x:v>
      </x:c>
      <x:c r="K54" s="2"/>
      <x:c r="L54" s="2"/>
      <x:c r="M54" s="2"/>
      <x:c r="N54" s="2"/>
    </x:row>
    <x:row r="55" ht="22" customHeight="1">
      <x:c r="A55" s="31" t="str">
        <x:v>zivno</x:v>
      </x:c>
      <x:c r="B55" s="22" t="n">
        <x:v>1935</x:v>
      </x:c>
      <x:c r="C55" s="32" t="n">
        <x:v>38.2</x:v>
      </x:c>
      <x:c r="D55" s="32" t="n">
        <x:v>36.8</x:v>
      </x:c>
      <x:c r="E55" s="32" t="n">
        <x:v>21.5</x:v>
      </x:c>
      <x:c r="F55" s="32" t="n">
        <x:v>6.8</x:v>
      </x:c>
      <x:c r="G55" s="32" t="n">
        <x:v>63.7</x:v>
      </x:c>
      <x:c r="H55" s="32" t="n">
        <x:v>8.6</x:v>
      </x:c>
      <x:c r="I55" s="32" t="n">
        <x:v>1.4</x:v>
      </x:c>
      <x:c r="J55" s="32"/>
      <x:c r="K55" s="2"/>
      <x:c r="L55" s="2"/>
      <x:c r="M55" s="2"/>
      <x:c r="N55" s="2"/>
    </x:row>
    <x:row r="56" ht="22" customHeight="1">
      <x:c r="A56" s="29" t="str">
        <x:v>zivno</x:v>
      </x:c>
      <x:c r="B56" s="19" t="n">
        <x:v>1936</x:v>
      </x:c>
      <x:c r="C56" s="30" t="n">
        <x:v>46.8</x:v>
      </x:c>
      <x:c r="D56" s="30" t="n">
        <x:v>31.3</x:v>
      </x:c>
      <x:c r="E56" s="30" t="n">
        <x:v>32</x:v>
      </x:c>
      <x:c r="F56" s="30" t="n">
        <x:v>7.1</x:v>
      </x:c>
      <x:c r="G56" s="30" t="n">
        <x:v>63.8</x:v>
      </x:c>
      <x:c r="H56" s="30" t="n">
        <x:v>19</x:v>
      </x:c>
      <x:c r="I56" s="30" t="n">
        <x:v>1.4</x:v>
      </x:c>
      <x:c r="J56" s="30"/>
      <x:c r="K56" s="2"/>
      <x:c r="L56" s="2"/>
      <x:c r="M56" s="2"/>
      <x:c r="N56" s="2"/>
    </x:row>
    <x:row r="57" ht="22" customHeight="1">
      <x:c r="A57" s="31" t="str">
        <x:v>zivno</x:v>
      </x:c>
      <x:c r="B57" s="22" t="n">
        <x:v>1937</x:v>
      </x:c>
      <x:c r="C57" s="32" t="n">
        <x:v>54.8</x:v>
      </x:c>
      <x:c r="D57" s="32" t="n">
        <x:v>36.1</x:v>
      </x:c>
      <x:c r="E57" s="32" t="n">
        <x:v>18.7</x:v>
      </x:c>
      <x:c r="F57" s="32" t="n">
        <x:v>7.2</x:v>
      </x:c>
      <x:c r="G57" s="32" t="n">
        <x:v>64.8</x:v>
      </x:c>
      <x:c r="H57" s="32" t="n">
        <x:v>16.1</x:v>
      </x:c>
      <x:c r="I57" s="32" t="n">
        <x:v>1.3</x:v>
      </x:c>
      <x:c r="J57" s="32"/>
      <x:c r="K57" s="2"/>
      <x:c r="L57" s="2"/>
      <x:c r="M57" s="2"/>
      <x:c r="N57" s="2"/>
    </x:row>
    <x:row r="58" ht="22" customHeight="1">
      <x:c r="A58" s="29" t="str">
        <x:v>anglo</x:v>
      </x:c>
      <x:c r="B58" s="19" t="n">
        <x:v>1933</x:v>
      </x:c>
      <x:c r="C58" s="30" t="n">
        <x:v>34.4</x:v>
      </x:c>
      <x:c r="D58" s="30" t="n">
        <x:v>21.2</x:v>
      </x:c>
      <x:c r="E58" s="30" t="n">
        <x:v>8.3</x:v>
      </x:c>
      <x:c r="F58" s="30" t="n">
        <x:v>6.8</x:v>
      </x:c>
      <x:c r="G58" s="30" t="n">
        <x:v>50.4</x:v>
      </x:c>
      <x:c r="H58" s="30" t="n">
        <x:v>2.6</x:v>
      </x:c>
      <x:c r="I58" s="30" t="n">
        <x:v>2</x:v>
      </x:c>
      <x:c r="J58" s="30" t="n">
        <x:v>1.4</x:v>
      </x:c>
      <x:c r="K58" s="2"/>
      <x:c r="L58" s="2"/>
      <x:c r="M58" s="2"/>
      <x:c r="N58" s="2"/>
    </x:row>
    <x:row r="59" ht="22" customHeight="1">
      <x:c r="A59" s="31" t="str">
        <x:v>anglo</x:v>
      </x:c>
      <x:c r="B59" s="22" t="n">
        <x:v>1934</x:v>
      </x:c>
      <x:c r="C59" s="32" t="n">
        <x:v>29.3</x:v>
      </x:c>
      <x:c r="D59" s="32" t="n">
        <x:v>19.1</x:v>
      </x:c>
      <x:c r="E59" s="32" t="n">
        <x:v>7.5</x:v>
      </x:c>
      <x:c r="F59" s="32" t="n">
        <x:v>6.3</x:v>
      </x:c>
      <x:c r="G59" s="32" t="n">
        <x:v>44.5</x:v>
      </x:c>
      <x:c r="H59" s="32" t="n">
        <x:v>2.4</x:v>
      </x:c>
      <x:c r="I59" s="32" t="n">
        <x:v>2</x:v>
      </x:c>
      <x:c r="J59" s="32"/>
      <x:c r="K59" s="2"/>
      <x:c r="L59" s="2"/>
      <x:c r="M59" s="2"/>
      <x:c r="N59" s="2"/>
    </x:row>
    <x:row r="60" ht="22" customHeight="1">
      <x:c r="A60" s="29" t="str">
        <x:v>anglo</x:v>
      </x:c>
      <x:c r="B60" s="19" t="n">
        <x:v>1935</x:v>
      </x:c>
      <x:c r="C60" s="30" t="n">
        <x:v>29.8</x:v>
      </x:c>
      <x:c r="D60" s="30" t="n">
        <x:v>18.2</x:v>
      </x:c>
      <x:c r="E60" s="30" t="n">
        <x:v>7.4</x:v>
      </x:c>
      <x:c r="F60" s="30" t="n">
        <x:v>6.2</x:v>
      </x:c>
      <x:c r="G60" s="30" t="n">
        <x:v>43.7</x:v>
      </x:c>
      <x:c r="H60" s="30" t="n">
        <x:v>2.5</x:v>
      </x:c>
      <x:c r="I60" s="30" t="n">
        <x:v>2.1</x:v>
      </x:c>
      <x:c r="J60" s="30"/>
      <x:c r="K60" s="2"/>
      <x:c r="L60" s="2"/>
      <x:c r="M60" s="2"/>
      <x:c r="N60" s="2"/>
    </x:row>
    <x:row r="61" ht="22" customHeight="1">
      <x:c r="A61" s="31" t="str">
        <x:v>anglo</x:v>
      </x:c>
      <x:c r="B61" s="22" t="n">
        <x:v>1936</x:v>
      </x:c>
      <x:c r="C61" s="32" t="n">
        <x:v>32.6</x:v>
      </x:c>
      <x:c r="D61" s="32" t="n">
        <x:v>16.8</x:v>
      </x:c>
      <x:c r="E61" s="32" t="n">
        <x:v>8.6</x:v>
      </x:c>
      <x:c r="F61" s="32" t="n">
        <x:v>6.1</x:v>
      </x:c>
      <x:c r="G61" s="32" t="n">
        <x:v>45.2</x:v>
      </x:c>
      <x:c r="H61" s="32" t="n">
        <x:v>3.1</x:v>
      </x:c>
      <x:c r="I61" s="32" t="n">
        <x:v>2.5</x:v>
      </x:c>
      <x:c r="J61" s="32"/>
      <x:c r="K61" s="2"/>
      <x:c r="L61" s="2"/>
      <x:c r="M61" s="2"/>
      <x:c r="N61" s="2"/>
    </x:row>
    <x:row r="62" ht="22" customHeight="1">
      <x:c r="A62" s="29" t="str">
        <x:v>anglo</x:v>
      </x:c>
      <x:c r="B62" s="19" t="n">
        <x:v>1937</x:v>
      </x:c>
      <x:c r="C62" s="30" t="n">
        <x:v>37</x:v>
      </x:c>
      <x:c r="D62" s="30" t="n">
        <x:v>18.3</x:v>
      </x:c>
      <x:c r="E62" s="30" t="n">
        <x:v>7.4</x:v>
      </x:c>
      <x:c r="F62" s="30" t="n">
        <x:v>6.4</x:v>
      </x:c>
      <x:c r="G62" s="30" t="n">
        <x:v>46.6</x:v>
      </x:c>
      <x:c r="H62" s="30" t="n">
        <x:v>3.3</x:v>
      </x:c>
      <x:c r="I62" s="30" t="n">
        <x:v>4</x:v>
      </x:c>
      <x:c r="J62" s="30"/>
      <x:c r="K62" s="2"/>
      <x:c r="L62" s="2"/>
      <x:c r="M62" s="2"/>
      <x:c r="N62" s="2"/>
    </x:row>
    <x:row r="63" ht="22" customHeight="1">
      <x:c r="A63" s="31" t="str">
        <x:v>legio</x:v>
      </x:c>
      <x:c r="B63" s="22" t="n">
        <x:v>1933</x:v>
      </x:c>
      <x:c r="C63" s="32" t="n">
        <x:v>15</x:v>
      </x:c>
      <x:c r="D63" s="32" t="n">
        <x:v>11.2</x:v>
      </x:c>
      <x:c r="E63" s="32" t="n">
        <x:v>5.3</x:v>
      </x:c>
      <x:c r="F63" s="32" t="n">
        <x:v>3.2</x:v>
      </x:c>
      <x:c r="G63" s="32" t="n">
        <x:v>17.8</x:v>
      </x:c>
      <x:c r="H63" s="32" t="n">
        <x:v>2.3</x:v>
      </x:c>
      <x:c r="I63" s="32" t="n">
        <x:v>2</x:v>
      </x:c>
      <x:c r="J63" s="32" t="n">
        <x:v>1.3</x:v>
      </x:c>
      <x:c r="K63" s="2"/>
      <x:c r="L63" s="2"/>
      <x:c r="M63" s="2"/>
      <x:c r="N63" s="2"/>
    </x:row>
    <x:row r="64" ht="22" customHeight="1">
      <x:c r="A64" s="29" t="str">
        <x:v>legio</x:v>
      </x:c>
      <x:c r="B64" s="19" t="n">
        <x:v>1934</x:v>
      </x:c>
      <x:c r="C64" s="30" t="n">
        <x:v>15.1</x:v>
      </x:c>
      <x:c r="D64" s="30" t="n">
        <x:v>9.6</x:v>
      </x:c>
      <x:c r="E64" s="30" t="n">
        <x:v>5</x:v>
      </x:c>
      <x:c r="F64" s="30" t="n">
        <x:v>2.8</x:v>
      </x:c>
      <x:c r="G64" s="30" t="n">
        <x:v>17.5</x:v>
      </x:c>
      <x:c r="H64" s="30" t="n">
        <x:v>1.3</x:v>
      </x:c>
      <x:c r="I64" s="30" t="n">
        <x:v>2.2</x:v>
      </x:c>
      <x:c r="J64" s="30" t="n">
        <x:v>0.1</x:v>
      </x:c>
      <x:c r="K64" s="2"/>
      <x:c r="L64" s="2"/>
      <x:c r="M64" s="2"/>
      <x:c r="N64" s="2"/>
    </x:row>
    <x:row r="65" ht="22" customHeight="1">
      <x:c r="A65" s="31" t="str">
        <x:v>legio</x:v>
      </x:c>
      <x:c r="B65" s="22" t="n">
        <x:v>1935</x:v>
      </x:c>
      <x:c r="C65" s="32" t="n">
        <x:v>15.4</x:v>
      </x:c>
      <x:c r="D65" s="32" t="n">
        <x:v>7.8</x:v>
      </x:c>
      <x:c r="E65" s="32" t="n">
        <x:v>5.1</x:v>
      </x:c>
      <x:c r="F65" s="32" t="n">
        <x:v>2.9</x:v>
      </x:c>
      <x:c r="G65" s="32" t="n">
        <x:v>17</x:v>
      </x:c>
      <x:c r="H65" s="32" t="n">
        <x:v>1.9</x:v>
      </x:c>
      <x:c r="I65" s="32" t="n">
        <x:v>1.2</x:v>
      </x:c>
      <x:c r="J65" s="32"/>
      <x:c r="K65" s="2"/>
      <x:c r="L65" s="2"/>
      <x:c r="M65" s="2"/>
      <x:c r="N65" s="2"/>
    </x:row>
    <x:row r="66" ht="22" customHeight="1">
      <x:c r="A66" s="29" t="str">
        <x:v>legio</x:v>
      </x:c>
      <x:c r="B66" s="19" t="n">
        <x:v>1936</x:v>
      </x:c>
      <x:c r="C66" s="30" t="n">
        <x:v>15.4</x:v>
      </x:c>
      <x:c r="D66" s="30" t="n">
        <x:v>7.9</x:v>
      </x:c>
      <x:c r="E66" s="30" t="n">
        <x:v>4.6</x:v>
      </x:c>
      <x:c r="F66" s="30" t="n">
        <x:v>2.6</x:v>
      </x:c>
      <x:c r="G66" s="30" t="n">
        <x:v>16.8</x:v>
      </x:c>
      <x:c r="H66" s="30" t="n">
        <x:v>2.1</x:v>
      </x:c>
      <x:c r="I66" s="30" t="n">
        <x:v>1.1</x:v>
      </x:c>
      <x:c r="J66" s="30"/>
      <x:c r="K66" s="2"/>
      <x:c r="L66" s="2"/>
      <x:c r="M66" s="2"/>
      <x:c r="N66" s="2"/>
    </x:row>
    <x:row r="67" ht="22" customHeight="1">
      <x:c r="A67" s="31" t="str">
        <x:v>legio</x:v>
      </x:c>
      <x:c r="B67" s="22" t="n">
        <x:v>1937</x:v>
      </x:c>
      <x:c r="C67" s="32" t="n">
        <x:v>16.2</x:v>
      </x:c>
      <x:c r="D67" s="32" t="n">
        <x:v>8.1</x:v>
      </x:c>
      <x:c r="E67" s="32" t="n">
        <x:v>4.9</x:v>
      </x:c>
      <x:c r="F67" s="32" t="n">
        <x:v>3.1</x:v>
      </x:c>
      <x:c r="G67" s="32" t="n">
        <x:v>17.2</x:v>
      </x:c>
      <x:c r="H67" s="32" t="n">
        <x:v>2.4</x:v>
      </x:c>
      <x:c r="I67" s="32" t="n">
        <x:v>1.2</x:v>
      </x:c>
      <x:c r="J67" s="32"/>
      <x:c r="K67" s="2"/>
      <x:c r="L67" s="2"/>
      <x:c r="M67" s="2"/>
      <x:c r="N67" s="2"/>
    </x:row>
    <x:row r="68" ht="22" customHeight="1">
      <x:c r="A68" s="29" t="str">
        <x:v>deutagr</x:v>
      </x:c>
      <x:c r="B68" s="19" t="n">
        <x:v>1933</x:v>
      </x:c>
      <x:c r="C68" s="30" t="n">
        <x:v>9.7</x:v>
      </x:c>
      <x:c r="D68" s="30" t="n">
        <x:v>3.5</x:v>
      </x:c>
      <x:c r="E68" s="30" t="n">
        <x:v>2</x:v>
      </x:c>
      <x:c r="F68" s="30" t="n">
        <x:v>1.4</x:v>
      </x:c>
      <x:c r="G68" s="30" t="n">
        <x:v>10.7</x:v>
      </x:c>
      <x:c r="H68" s="30" t="n">
        <x:v>0.5</x:v>
      </x:c>
      <x:c r="I68" s="30" t="n">
        <x:v>0.5</x:v>
      </x:c>
      <x:c r="J68" s="30" t="n">
        <x:v>2.1</x:v>
      </x:c>
      <x:c r="K68" s="2"/>
      <x:c r="L68" s="2"/>
      <x:c r="M68" s="2"/>
      <x:c r="N68" s="2"/>
    </x:row>
    <x:row r="69" ht="22" customHeight="1">
      <x:c r="A69" s="31" t="str">
        <x:v>deutagr</x:v>
      </x:c>
      <x:c r="B69" s="22" t="n">
        <x:v>1934</x:v>
      </x:c>
      <x:c r="C69" s="32" t="n">
        <x:v>9.1</x:v>
      </x:c>
      <x:c r="D69" s="32" t="n">
        <x:v>2.9</x:v>
      </x:c>
      <x:c r="E69" s="32" t="n">
        <x:v>2.4</x:v>
      </x:c>
      <x:c r="F69" s="32" t="n">
        <x:v>1.2</x:v>
      </x:c>
      <x:c r="G69" s="32" t="n">
        <x:v>9.4</x:v>
      </x:c>
      <x:c r="H69" s="32" t="n">
        <x:v>0.5</x:v>
      </x:c>
      <x:c r="I69" s="32" t="n">
        <x:v>0.6</x:v>
      </x:c>
      <x:c r="J69" s="32" t="n">
        <x:v>2.7</x:v>
      </x:c>
      <x:c r="K69" s="2"/>
      <x:c r="L69" s="2"/>
      <x:c r="M69" s="2"/>
      <x:c r="N69" s="2"/>
    </x:row>
    <x:row r="70" ht="22" customHeight="1">
      <x:c r="A70" s="29" t="str">
        <x:v>deutagr</x:v>
      </x:c>
      <x:c r="B70" s="19" t="n">
        <x:v>1935</x:v>
      </x:c>
      <x:c r="C70" s="30" t="n">
        <x:v>9.6</x:v>
      </x:c>
      <x:c r="D70" s="30" t="n">
        <x:v>2.9</x:v>
      </x:c>
      <x:c r="E70" s="30" t="n">
        <x:v>2.1</x:v>
      </x:c>
      <x:c r="F70" s="30" t="n">
        <x:v>1.1</x:v>
      </x:c>
      <x:c r="G70" s="30" t="n">
        <x:v>9.1</x:v>
      </x:c>
      <x:c r="H70" s="30" t="n">
        <x:v>0.5</x:v>
      </x:c>
      <x:c r="I70" s="30" t="n">
        <x:v>0.6</x:v>
      </x:c>
      <x:c r="J70" s="30" t="n">
        <x:v>3.2</x:v>
      </x:c>
      <x:c r="K70" s="2"/>
      <x:c r="L70" s="2"/>
      <x:c r="M70" s="2"/>
      <x:c r="N70" s="2"/>
    </x:row>
    <x:row r="71" ht="22" customHeight="1">
      <x:c r="A71" s="31" t="str">
        <x:v>deutagr</x:v>
      </x:c>
      <x:c r="B71" s="22" t="n">
        <x:v>1936</x:v>
      </x:c>
      <x:c r="C71" s="32" t="n">
        <x:v>10.9</x:v>
      </x:c>
      <x:c r="D71" s="32" t="n">
        <x:v>3</x:v>
      </x:c>
      <x:c r="E71" s="32" t="n">
        <x:v>2.5</x:v>
      </x:c>
      <x:c r="F71" s="32" t="n">
        <x:v>1</x:v>
      </x:c>
      <x:c r="G71" s="32" t="n">
        <x:v>9.3</x:v>
      </x:c>
      <x:c r="H71" s="32" t="n">
        <x:v>0.6</x:v>
      </x:c>
      <x:c r="I71" s="32" t="n">
        <x:v>0.6</x:v>
      </x:c>
      <x:c r="J71" s="32" t="n">
        <x:v>4.8</x:v>
      </x:c>
      <x:c r="K71" s="2"/>
      <x:c r="L71" s="2"/>
      <x:c r="M71" s="2"/>
      <x:c r="N71" s="2"/>
    </x:row>
    <x:row r="72" ht="22" customHeight="1">
      <x:c r="A72" s="29" t="str">
        <x:v>deutagr</x:v>
      </x:c>
      <x:c r="B72" s="19" t="n">
        <x:v>1937</x:v>
      </x:c>
      <x:c r="C72" s="30" t="n">
        <x:v>11.3</x:v>
      </x:c>
      <x:c r="D72" s="30" t="n">
        <x:v>3.5</x:v>
      </x:c>
      <x:c r="E72" s="30" t="n">
        <x:v>2.1</x:v>
      </x:c>
      <x:c r="F72" s="30" t="n">
        <x:v>1.1</x:v>
      </x:c>
      <x:c r="G72" s="30" t="n">
        <x:v>4.5</x:v>
      </x:c>
      <x:c r="H72" s="30" t="n">
        <x:v>0.6</x:v>
      </x:c>
      <x:c r="I72" s="30" t="n">
        <x:v>0.6</x:v>
      </x:c>
      <x:c r="J72" s="30" t="n">
        <x:v>9.9</x:v>
      </x:c>
      <x:c r="K72" s="2"/>
      <x:c r="L72" s="2"/>
      <x:c r="M72" s="2"/>
      <x:c r="N72" s="2"/>
    </x:row>
    <x:row r="73" ht="22" customHeight="1">
      <x:c r="A73" s="31" t="str">
        <x:v>vseobdruz</x:v>
      </x:c>
      <x:c r="B73" s="22" t="n">
        <x:v>1933</x:v>
      </x:c>
      <x:c r="C73" s="32" t="n">
        <x:v>2.247</x:v>
      </x:c>
      <x:c r="D73" s="32" t="n">
        <x:v>0.468</x:v>
      </x:c>
      <x:c r="E73" s="32" t="n">
        <x:v>0.095</x:v>
      </x:c>
      <x:c r="F73" s="32" t="n">
        <x:v>0.652</x:v>
      </x:c>
      <x:c r="G73" s="32" t="n">
        <x:v>1.361</x:v>
      </x:c>
      <x:c r="H73" s="32" t="n">
        <x:v>0.084</x:v>
      </x:c>
      <x:c r="I73" s="32" t="n">
        <x:v>0.075</x:v>
      </x:c>
      <x:c r="J73" s="32" t="n">
        <x:v>0.017</x:v>
      </x:c>
      <x:c r="K73" s="2"/>
      <x:c r="L73" s="2"/>
      <x:c r="M73" s="2"/>
      <x:c r="N73" s="2"/>
    </x:row>
    <x:row r="74" ht="22" customHeight="1">
      <x:c r="A74" s="29" t="str">
        <x:v>vseobdruz</x:v>
      </x:c>
      <x:c r="B74" s="19" t="n">
        <x:v>1934</x:v>
      </x:c>
      <x:c r="C74" s="30" t="n">
        <x:v>2.372</x:v>
      </x:c>
      <x:c r="D74" s="30" t="n">
        <x:v>0.482</x:v>
      </x:c>
      <x:c r="E74" s="30" t="n">
        <x:v>0.529</x:v>
      </x:c>
      <x:c r="F74" s="30" t="n">
        <x:v>0.558</x:v>
      </x:c>
      <x:c r="G74" s="30" t="n">
        <x:v>1.372</x:v>
      </x:c>
      <x:c r="H74" s="30" t="n">
        <x:v>0.618</x:v>
      </x:c>
      <x:c r="I74" s="30" t="n">
        <x:v>0.075</x:v>
      </x:c>
      <x:c r="J74" s="30" t="n">
        <x:v>0.011</x:v>
      </x:c>
      <x:c r="K74" s="2"/>
      <x:c r="L74" s="2"/>
      <x:c r="M74" s="2"/>
      <x:c r="N74" s="2"/>
    </x:row>
    <x:row r="75" ht="22" customHeight="1">
      <x:c r="A75" s="31" t="str">
        <x:v>vseobdruz</x:v>
      </x:c>
      <x:c r="B75" s="22" t="n">
        <x:v>1935</x:v>
      </x:c>
      <x:c r="C75" s="32" t="n">
        <x:v>2.596</x:v>
      </x:c>
      <x:c r="D75" s="32" t="n">
        <x:v>0.595</x:v>
      </x:c>
      <x:c r="E75" s="32" t="n">
        <x:v>0.507</x:v>
      </x:c>
      <x:c r="F75" s="32" t="n">
        <x:v>0.589</x:v>
      </x:c>
      <x:c r="G75" s="32" t="n">
        <x:v>1.404</x:v>
      </x:c>
      <x:c r="H75" s="32" t="n">
        <x:v>0.578</x:v>
      </x:c>
      <x:c r="I75" s="32" t="n">
        <x:v>0.075</x:v>
      </x:c>
      <x:c r="J75" s="32" t="n">
        <x:v>0.01</x:v>
      </x:c>
      <x:c r="K75" s="2"/>
      <x:c r="L75" s="2"/>
      <x:c r="M75" s="2"/>
      <x:c r="N75" s="2"/>
    </x:row>
    <x:row r="76" ht="22" customHeight="1">
      <x:c r="A76" s="29" t="str">
        <x:v>vseobdruz</x:v>
      </x:c>
      <x:c r="B76" s="19" t="n">
        <x:v>1936</x:v>
      </x:c>
      <x:c r="C76" s="30" t="n">
        <x:v>3.425</x:v>
      </x:c>
      <x:c r="D76" s="30" t="n">
        <x:v>0.769</x:v>
      </x:c>
      <x:c r="E76" s="30" t="n">
        <x:v>0.365</x:v>
      </x:c>
      <x:c r="F76" s="30" t="n">
        <x:v>0.661</x:v>
      </x:c>
      <x:c r="G76" s="30" t="n">
        <x:v>1.599</x:v>
      </x:c>
      <x:c r="H76" s="30" t="n">
        <x:v>0.962</x:v>
      </x:c>
      <x:c r="I76" s="30" t="n">
        <x:v>0.075</x:v>
      </x:c>
      <x:c r="J76" s="30" t="n">
        <x:v>0.015</x:v>
      </x:c>
      <x:c r="K76" s="2"/>
      <x:c r="L76" s="2"/>
      <x:c r="M76" s="2"/>
      <x:c r="N76" s="2"/>
    </x:row>
    <x:row r="77" ht="22" customHeight="1">
      <x:c r="A77" s="31" t="str">
        <x:v>vseobdruz</x:v>
      </x:c>
      <x:c r="B77" s="22" t="n">
        <x:v>1937</x:v>
      </x:c>
      <x:c r="C77" s="32" t="n">
        <x:v>3.46</x:v>
      </x:c>
      <x:c r="D77" s="32" t="n">
        <x:v>1.009</x:v>
      </x:c>
      <x:c r="E77" s="32" t="n">
        <x:v>0.18</x:v>
      </x:c>
      <x:c r="F77" s="32" t="n">
        <x:v>0.721</x:v>
      </x:c>
      <x:c r="G77" s="32" t="n">
        <x:v>1.727</x:v>
      </x:c>
      <x:c r="H77" s="32" t="n">
        <x:v>0.675</x:v>
      </x:c>
      <x:c r="I77" s="32" t="n">
        <x:v>0.076</x:v>
      </x:c>
      <x:c r="J77" s="32" t="n">
        <x:v>0.01</x:v>
      </x:c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a4f7fd7afa95453d"/>
  </x:tableParts>
</x:worksheet>
</file>

<file path=xl/worksheets/sheet10.xml><?xml version="1.0" encoding="utf-8"?>
<x:worksheet xmlns:x="http://schemas.openxmlformats.org/spreadsheetml/2006/main">
  <x:sheetPr>
    <x:tabColor rgb="FF337E7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5600004196167" hidden="0" customWidth="1"/>
    <x:col min="2" max="2" width="8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Bank ratios and income intensity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Stocks are millions of Kč. Ratio columns contain percentage units, with end-year assets as denominator.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Keyed formulas preserve the bank ID and year. The denominator and the two principal numerators are visible.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Bank ID</x:v>
      </x:c>
      <x:c r="B7" s="16" t="str">
        <x:v>Year</x:v>
      </x:c>
      <x:c r="C7" s="16" t="str">
        <x:v>Total assets</x:v>
      </x:c>
      <x:c r="D7" s="16" t="str">
        <x:v>Capital and reserves</x:v>
      </x:c>
      <x:c r="E7" s="16" t="str">
        <x:v>Debtors and bills</x:v>
      </x:c>
      <x:c r="F7" s="16" t="str">
        <x:v>Capital / assets (%)</x:v>
      </x:c>
      <x:c r="G7" s="16" t="str">
        <x:v>Debtors + bills / assets (%)</x:v>
      </x:c>
      <x:c r="H7" s="16" t="str">
        <x:v>Cash / assets (%)</x:v>
      </x:c>
      <x:c r="I7" s="16" t="str">
        <x:v>Securities / assets (%)</x:v>
      </x:c>
      <x:c r="J7" s="16" t="str">
        <x:v>Source deposits / assets (%)</x:v>
      </x:c>
      <x:c r="K7" s="16" t="str">
        <x:v>Creditors / assets (%)</x:v>
      </x:c>
      <x:c r="L7" s="16" t="str">
        <x:v>Net interest / end-assets (%)</x:v>
      </x:c>
      <x:c r="M7" s="17" t="str">
        <x:v>Commissions / end-assets (%)</x:v>
      </x:c>
      <x:c r="N7" s="2"/>
    </x:row>
    <x:row r="8" ht="22" customHeight="1">
      <x:c r="A8" s="29" t="str">
        <x:v>agrarni</x:v>
      </x:c>
      <x:c r="B8" s="19" t="n">
        <x:v>1933</x:v>
      </x:c>
      <x:c r="C8" s="30" t="n">
        <x:f>SUMIFS('Bank assets'!$C$8:$C$77,'Bank assets'!$A$8:$A$77,$A8,'Bank assets'!$B$8:$B$77,$B8)</x:f>
        <x:v>721.3</x:v>
      </x:c>
      <x:c r="D8" s="30" t="n">
        <x:f>SUMIFS('Bank funding'!$C$8:$C$77,'Bank funding'!$A$8:$A$77,$A8,'Bank funding'!$B$8:$B$77,$B8)+SUMIFS('Bank funding'!$D$8:$D$77,'Bank funding'!$A$8:$A$77,$A8,'Bank funding'!$B$8:$B$77,$B8)</x:f>
        <x:v>93.5</x:v>
      </x:c>
      <x:c r="E8" s="30" t="n">
        <x:f>SUMIFS('Bank assets'!$H$8:$H$77,'Bank assets'!$A$8:$A$77,$A8,'Bank assets'!$B$8:$B$77,$B8)+SUMIFS('Bank assets'!$E$8:$E$77,'Bank assets'!$A$8:$A$77,$A8,'Bank assets'!$B$8:$B$77,$B8)</x:f>
        <x:v>432.1</x:v>
      </x:c>
      <x:c r="F8" s="35" t="n">
        <x:f>100*$D8/$C8</x:f>
        <x:v>12.96270622487176</x:v>
      </x:c>
      <x:c r="G8" s="35" t="n">
        <x:f>100*$E8/$C8</x:f>
        <x:v>59.905725772910024</x:v>
      </x:c>
      <x:c r="H8" s="35" t="n">
        <x:f>100*SUMIFS('Bank assets'!$D$8:$D$77,'Bank assets'!$A$8:$A$77,$A8,'Bank assets'!$B$8:$B$77,$B8)/$C8</x:f>
        <x:v>12.782476084846806</x:v>
      </x:c>
      <x:c r="I8" s="35" t="n">
        <x:f>100*SUMIFS('Bank assets'!$F$8:$F$77,'Bank assets'!$A$8:$A$77,$A8,'Bank assets'!$B$8:$B$77,$B8)/$C8</x:f>
        <x:v>19.395535838070153</x:v>
      </x:c>
      <x:c r="J8" s="35" t="n">
        <x:f>100*SUMIFS('Bank funding'!$F$8:$F$77,'Bank funding'!$A$8:$A$77,$A8,'Bank funding'!$B$8:$B$77,$B8)/$C8</x:f>
        <x:v>23.748786912519066</x:v>
      </x:c>
      <x:c r="K8" s="35" t="n">
        <x:f>100*SUMIFS('Bank funding'!$G$8:$G$77,'Bank funding'!$A$8:$A$77,$A8,'Bank funding'!$B$8:$B$77,$B8)/$C8</x:f>
        <x:v>60.47414390683488</x:v>
      </x:c>
      <x:c r="L8" s="35" t="n">
        <x:f>100*SUMIFS('Bank income'!$C$8:$C$77,'Bank income'!$A$8:$A$77,$A8,'Bank income'!$B$8:$B$77,$B8)/$C8</x:f>
        <x:v>1.5250242617496188</x:v>
      </x:c>
      <x:c r="M8" s="35" t="n">
        <x:f>100*SUMIFS('Bank income'!$D$8:$D$77,'Bank income'!$A$8:$A$77,$A8,'Bank income'!$B$8:$B$77,$B8)/$C8</x:f>
        <x:v>0.9981976985997505</x:v>
      </x:c>
      <x:c r="N8" s="2"/>
    </x:row>
    <x:row r="9" ht="22" customHeight="1">
      <x:c r="A9" s="31" t="str">
        <x:v>agrarni</x:v>
      </x:c>
      <x:c r="B9" s="22" t="n">
        <x:v>1934</x:v>
      </x:c>
      <x:c r="C9" s="32" t="n">
        <x:f>SUMIFS('Bank assets'!$C$8:$C$77,'Bank assets'!$A$8:$A$77,$A9,'Bank assets'!$B$8:$B$77,$B9)</x:f>
        <x:v>784.2</x:v>
      </x:c>
      <x:c r="D9" s="32" t="n">
        <x:f>SUMIFS('Bank funding'!$C$8:$C$77,'Bank funding'!$A$8:$A$77,$A9,'Bank funding'!$B$8:$B$77,$B9)+SUMIFS('Bank funding'!$D$8:$D$77,'Bank funding'!$A$8:$A$77,$A9,'Bank funding'!$B$8:$B$77,$B9)</x:f>
        <x:v>94</x:v>
      </x:c>
      <x:c r="E9" s="32" t="n">
        <x:f>SUMIFS('Bank assets'!$H$8:$H$77,'Bank assets'!$A$8:$A$77,$A9,'Bank assets'!$B$8:$B$77,$B9)+SUMIFS('Bank assets'!$E$8:$E$77,'Bank assets'!$A$8:$A$77,$A9,'Bank assets'!$B$8:$B$77,$B9)</x:f>
        <x:v>471.8</x:v>
      </x:c>
      <x:c r="F9" s="36" t="n">
        <x:f>100*$D9/$C9</x:f>
        <x:v>11.986738077021167</x:v>
      </x:c>
      <x:c r="G9" s="36" t="n">
        <x:f>100*$E9/$C9</x:f>
        <x:v>60.16322366743177</x:v>
      </x:c>
      <x:c r="H9" s="36" t="n">
        <x:f>100*SUMIFS('Bank assets'!$D$8:$D$77,'Bank assets'!$A$8:$A$77,$A9,'Bank assets'!$B$8:$B$77,$B9)/$C9</x:f>
        <x:v>15.697526141290487</x:v>
      </x:c>
      <x:c r="I9" s="36" t="n">
        <x:f>100*SUMIFS('Bank assets'!$F$8:$F$77,'Bank assets'!$A$8:$A$77,$A9,'Bank assets'!$B$8:$B$77,$B9)/$C9</x:f>
        <x:v>16.09283346085182</x:v>
      </x:c>
      <x:c r="J9" s="36" t="n">
        <x:f>100*SUMIFS('Bank funding'!$F$8:$F$77,'Bank funding'!$A$8:$A$77,$A9,'Bank funding'!$B$8:$B$77,$B9)/$C9</x:f>
        <x:v>21.767406273909717</x:v>
      </x:c>
      <x:c r="K9" s="36" t="n">
        <x:f>100*SUMIFS('Bank funding'!$G$8:$G$77,'Bank funding'!$A$8:$A$77,$A9,'Bank funding'!$B$8:$B$77,$B9)/$C9</x:f>
        <x:v>64.29482274929865</x:v>
      </x:c>
      <x:c r="L9" s="36" t="n">
        <x:f>100*SUMIFS('Bank income'!$C$8:$C$77,'Bank income'!$A$8:$A$77,$A9,'Bank income'!$B$8:$B$77,$B9)/$C9</x:f>
        <x:v>1.3389441469013006</x:v>
      </x:c>
      <x:c r="M9" s="36" t="n">
        <x:f>100*SUMIFS('Bank income'!$D$8:$D$77,'Bank income'!$A$8:$A$77,$A9,'Bank income'!$B$8:$B$77,$B9)/$C9</x:f>
        <x:v>0.8033664881407804</x:v>
      </x:c>
      <x:c r="N9" s="2"/>
    </x:row>
    <x:row r="10" ht="22" customHeight="1">
      <x:c r="A10" s="29" t="str">
        <x:v>agrarni</x:v>
      </x:c>
      <x:c r="B10" s="19" t="n">
        <x:v>1935</x:v>
      </x:c>
      <x:c r="C10" s="30" t="n">
        <x:f>SUMIFS('Bank assets'!$C$8:$C$77,'Bank assets'!$A$8:$A$77,$A10,'Bank assets'!$B$8:$B$77,$B10)</x:f>
        <x:v>1002.8</x:v>
      </x:c>
      <x:c r="D10" s="30" t="n">
        <x:f>SUMIFS('Bank funding'!$C$8:$C$77,'Bank funding'!$A$8:$A$77,$A10,'Bank funding'!$B$8:$B$77,$B10)+SUMIFS('Bank funding'!$D$8:$D$77,'Bank funding'!$A$8:$A$77,$A10,'Bank funding'!$B$8:$B$77,$B10)</x:f>
        <x:v>94.5</x:v>
      </x:c>
      <x:c r="E10" s="30" t="n">
        <x:f>SUMIFS('Bank assets'!$H$8:$H$77,'Bank assets'!$A$8:$A$77,$A10,'Bank assets'!$B$8:$B$77,$B10)+SUMIFS('Bank assets'!$E$8:$E$77,'Bank assets'!$A$8:$A$77,$A10,'Bank assets'!$B$8:$B$77,$B10)</x:f>
        <x:v>570</x:v>
      </x:c>
      <x:c r="F10" s="35" t="n">
        <x:f>100*$D10/$C10</x:f>
        <x:v>9.423613881132828</x:v>
      </x:c>
      <x:c r="G10" s="35" t="n">
        <x:f>100*$E10/$C10</x:f>
        <x:v>56.84084563222976</x:v>
      </x:c>
      <x:c r="H10" s="35" t="n">
        <x:f>100*SUMIFS('Bank assets'!$D$8:$D$77,'Bank assets'!$A$8:$A$77,$A10,'Bank assets'!$B$8:$B$77,$B10)/$C10</x:f>
        <x:v>20.981252493019547</x:v>
      </x:c>
      <x:c r="I10" s="35" t="n">
        <x:f>100*SUMIFS('Bank assets'!$F$8:$F$77,'Bank assets'!$A$8:$A$77,$A10,'Bank assets'!$B$8:$B$77,$B10)/$C10</x:f>
        <x:v>15.59633027522936</x:v>
      </x:c>
      <x:c r="J10" s="35" t="n">
        <x:f>100*SUMIFS('Bank funding'!$F$8:$F$77,'Bank funding'!$A$8:$A$77,$A10,'Bank funding'!$B$8:$B$77,$B10)/$C10</x:f>
        <x:v>18.218986836856804</x:v>
      </x:c>
      <x:c r="K10" s="35" t="n">
        <x:f>100*SUMIFS('Bank funding'!$G$8:$G$77,'Bank funding'!$A$8:$A$77,$A10,'Bank funding'!$B$8:$B$77,$B10)/$C10</x:f>
        <x:v>69.88432389309932</x:v>
      </x:c>
      <x:c r="L10" s="35" t="n">
        <x:f>100*SUMIFS('Bank income'!$C$8:$C$77,'Bank income'!$A$8:$A$77,$A10,'Bank income'!$B$8:$B$77,$B10)/$C10</x:f>
        <x:v>0.9872357399282011</x:v>
      </x:c>
      <x:c r="M10" s="35" t="n">
        <x:f>100*SUMIFS('Bank income'!$D$8:$D$77,'Bank income'!$A$8:$A$77,$A10,'Bank income'!$B$8:$B$77,$B10)/$C10</x:f>
        <x:v>0.6581571599521341</x:v>
      </x:c>
      <x:c r="N10" s="2"/>
    </x:row>
    <x:row r="11" ht="22" customHeight="1">
      <x:c r="A11" s="31" t="str">
        <x:v>agrarni</x:v>
      </x:c>
      <x:c r="B11" s="22" t="n">
        <x:v>1936</x:v>
      </x:c>
      <x:c r="C11" s="32" t="n">
        <x:f>SUMIFS('Bank assets'!$C$8:$C$77,'Bank assets'!$A$8:$A$77,$A11,'Bank assets'!$B$8:$B$77,$B11)</x:f>
        <x:v>972.9</x:v>
      </x:c>
      <x:c r="D11" s="32" t="n">
        <x:f>SUMIFS('Bank funding'!$C$8:$C$77,'Bank funding'!$A$8:$A$77,$A11,'Bank funding'!$B$8:$B$77,$B11)+SUMIFS('Bank funding'!$D$8:$D$77,'Bank funding'!$A$8:$A$77,$A11,'Bank funding'!$B$8:$B$77,$B11)</x:f>
        <x:v>95</x:v>
      </x:c>
      <x:c r="E11" s="32" t="n">
        <x:f>SUMIFS('Bank assets'!$H$8:$H$77,'Bank assets'!$A$8:$A$77,$A11,'Bank assets'!$B$8:$B$77,$B11)+SUMIFS('Bank assets'!$E$8:$E$77,'Bank assets'!$A$8:$A$77,$A11,'Bank assets'!$B$8:$B$77,$B11)</x:f>
        <x:v>540.5</x:v>
      </x:c>
      <x:c r="F11" s="36" t="n">
        <x:f>100*$D11/$C11</x:f>
        <x:v>9.76462123548155</x:v>
      </x:c>
      <x:c r="G11" s="36" t="n">
        <x:f>100*$E11/$C11</x:f>
        <x:v>55.55555555555556</x:v>
      </x:c>
      <x:c r="H11" s="36" t="n">
        <x:f>100*SUMIFS('Bank assets'!$D$8:$D$77,'Bank assets'!$A$8:$A$77,$A11,'Bank assets'!$B$8:$B$77,$B11)/$C11</x:f>
        <x:v>21.050467673964437</x:v>
      </x:c>
      <x:c r="I11" s="36" t="n">
        <x:f>100*SUMIFS('Bank assets'!$F$8:$F$77,'Bank assets'!$A$8:$A$77,$A11,'Bank assets'!$B$8:$B$77,$B11)/$C11</x:f>
        <x:v>16.22982834823723</x:v>
      </x:c>
      <x:c r="J11" s="36" t="n">
        <x:f>100*SUMIFS('Bank funding'!$F$8:$F$77,'Bank funding'!$A$8:$A$77,$A11,'Bank funding'!$B$8:$B$77,$B11)/$C11</x:f>
        <x:v>19.82732038236201</x:v>
      </x:c>
      <x:c r="K11" s="36" t="n">
        <x:f>100*SUMIFS('Bank funding'!$G$8:$G$77,'Bank funding'!$A$8:$A$77,$A11,'Bank funding'!$B$8:$B$77,$B11)/$C11</x:f>
        <x:v>67.05725151608593</x:v>
      </x:c>
      <x:c r="L11" s="36" t="n">
        <x:f>100*SUMIFS('Bank income'!$C$8:$C$77,'Bank income'!$A$8:$A$77,$A11,'Bank income'!$B$8:$B$77,$B11)/$C11</x:f>
        <x:v>1.0484119642306506</x:v>
      </x:c>
      <x:c r="M11" s="36" t="n">
        <x:f>100*SUMIFS('Bank income'!$D$8:$D$77,'Bank income'!$A$8:$A$77,$A11,'Bank income'!$B$8:$B$77,$B11)/$C11</x:f>
        <x:v>0.5550416281221092</x:v>
      </x:c>
      <x:c r="N11" s="2"/>
    </x:row>
    <x:row r="12" ht="22" customHeight="1">
      <x:c r="A12" s="29" t="str">
        <x:v>agrarni</x:v>
      </x:c>
      <x:c r="B12" s="19" t="n">
        <x:v>1937</x:v>
      </x:c>
      <x:c r="C12" s="30" t="n">
        <x:f>SUMIFS('Bank assets'!$C$8:$C$77,'Bank assets'!$A$8:$A$77,$A12,'Bank assets'!$B$8:$B$77,$B12)</x:f>
        <x:v>1070.8</x:v>
      </x:c>
      <x:c r="D12" s="30" t="n">
        <x:f>SUMIFS('Bank funding'!$C$8:$C$77,'Bank funding'!$A$8:$A$77,$A12,'Bank funding'!$B$8:$B$77,$B12)+SUMIFS('Bank funding'!$D$8:$D$77,'Bank funding'!$A$8:$A$77,$A12,'Bank funding'!$B$8:$B$77,$B12)</x:f>
        <x:v>95.5</x:v>
      </x:c>
      <x:c r="E12" s="30" t="n">
        <x:f>SUMIFS('Bank assets'!$H$8:$H$77,'Bank assets'!$A$8:$A$77,$A12,'Bank assets'!$B$8:$B$77,$B12)+SUMIFS('Bank assets'!$E$8:$E$77,'Bank assets'!$A$8:$A$77,$A12,'Bank assets'!$B$8:$B$77,$B12)</x:f>
        <x:v>535.4</x:v>
      </x:c>
      <x:c r="F12" s="35" t="n">
        <x:f>100*$D12/$C12</x:f>
        <x:v>8.918565558460964</x:v>
      </x:c>
      <x:c r="G12" s="35" t="n">
        <x:f>100*$E12/$C12</x:f>
        <x:v>50</x:v>
      </x:c>
      <x:c r="H12" s="35" t="n">
        <x:f>100*SUMIFS('Bank assets'!$D$8:$D$77,'Bank assets'!$A$8:$A$77,$A12,'Bank assets'!$B$8:$B$77,$B12)/$C12</x:f>
        <x:v>17.790437056406425</x:v>
      </x:c>
      <x:c r="I12" s="35" t="n">
        <x:f>100*SUMIFS('Bank assets'!$F$8:$F$77,'Bank assets'!$A$8:$A$77,$A12,'Bank assets'!$B$8:$B$77,$B12)/$C12</x:f>
        <x:v>25.028016436309304</x:v>
      </x:c>
      <x:c r="J12" s="35" t="n">
        <x:f>100*SUMIFS('Bank funding'!$F$8:$F$77,'Bank funding'!$A$8:$A$77,$A12,'Bank funding'!$B$8:$B$77,$B12)/$C12</x:f>
        <x:v>19.312663429211806</x:v>
      </x:c>
      <x:c r="K12" s="35" t="n">
        <x:f>100*SUMIFS('Bank funding'!$G$8:$G$77,'Bank funding'!$A$8:$A$77,$A12,'Bank funding'!$B$8:$B$77,$B12)/$C12</x:f>
        <x:v>68.23870003735526</x:v>
      </x:c>
      <x:c r="L12" s="35" t="n">
        <x:f>100*SUMIFS('Bank income'!$C$8:$C$77,'Bank income'!$A$8:$A$77,$A12,'Bank income'!$B$8:$B$77,$B12)/$C12</x:f>
        <x:v>1.1393350765782593</x:v>
      </x:c>
      <x:c r="M12" s="35" t="n">
        <x:f>100*SUMIFS('Bank income'!$D$8:$D$77,'Bank income'!$A$8:$A$77,$A12,'Bank income'!$B$8:$B$77,$B12)/$C12</x:f>
        <x:v>0.5509899140829286</x:v>
      </x:c>
      <x:c r="N12" s="2"/>
    </x:row>
    <x:row r="13" ht="22" customHeight="1">
      <x:c r="A13" s="31" t="str">
        <x:v>lander</x:v>
      </x:c>
      <x:c r="B13" s="22" t="n">
        <x:v>1933</x:v>
      </x:c>
      <x:c r="C13" s="32" t="n">
        <x:f>SUMIFS('Bank assets'!$C$8:$C$77,'Bank assets'!$A$8:$A$77,$A13,'Bank assets'!$B$8:$B$77,$B13)</x:f>
        <x:v>1305.2</x:v>
      </x:c>
      <x:c r="D13" s="32" t="n">
        <x:f>SUMIFS('Bank funding'!$C$8:$C$77,'Bank funding'!$A$8:$A$77,$A13,'Bank funding'!$B$8:$B$77,$B13)+SUMIFS('Bank funding'!$D$8:$D$77,'Bank funding'!$A$8:$A$77,$A13,'Bank funding'!$B$8:$B$77,$B13)</x:f>
        <x:v>242.2</x:v>
      </x:c>
      <x:c r="E13" s="32" t="n">
        <x:f>SUMIFS('Bank assets'!$H$8:$H$77,'Bank assets'!$A$8:$A$77,$A13,'Bank assets'!$B$8:$B$77,$B13)+SUMIFS('Bank assets'!$E$8:$E$77,'Bank assets'!$A$8:$A$77,$A13,'Bank assets'!$B$8:$B$77,$B13)</x:f>
        <x:v>918.1</x:v>
      </x:c>
      <x:c r="F13" s="36" t="n">
        <x:f>100*$D13/$C13</x:f>
        <x:v>18.55654305853509</x:v>
      </x:c>
      <x:c r="G13" s="36" t="n">
        <x:f>100*$E13/$C13</x:f>
        <x:v>70.34171008274593</x:v>
      </x:c>
      <x:c r="H13" s="36" t="n">
        <x:f>100*SUMIFS('Bank assets'!$D$8:$D$77,'Bank assets'!$A$8:$A$77,$A13,'Bank assets'!$B$8:$B$77,$B13)/$C13</x:f>
        <x:v>18.55654305853509</x:v>
      </x:c>
      <x:c r="I13" s="36" t="n">
        <x:f>100*SUMIFS('Bank assets'!$F$8:$F$77,'Bank assets'!$A$8:$A$77,$A13,'Bank assets'!$B$8:$B$77,$B13)/$C13</x:f>
        <x:v>4.635304934109715</x:v>
      </x:c>
      <x:c r="J13" s="36" t="n">
        <x:f>100*SUMIFS('Bank funding'!$F$8:$F$77,'Bank funding'!$A$8:$A$77,$A13,'Bank funding'!$B$8:$B$77,$B13)/$C13</x:f>
        <x:v>41.020533251608946</x:v>
      </x:c>
      <x:c r="K13" s="36" t="n">
        <x:f>100*SUMIFS('Bank funding'!$G$8:$G$77,'Bank funding'!$A$8:$A$77,$A13,'Bank funding'!$B$8:$B$77,$B13)/$C13</x:f>
        <x:v>34.469813055470425</x:v>
      </x:c>
      <x:c r="L13" s="36" t="n">
        <x:f>100*SUMIFS('Bank income'!$C$8:$C$77,'Bank income'!$A$8:$A$77,$A13,'Bank income'!$B$8:$B$77,$B13)/$C13</x:f>
        <x:v>1.5476555317192766</x:v>
      </x:c>
      <x:c r="M13" s="36" t="n">
        <x:f>100*SUMIFS('Bank income'!$D$8:$D$77,'Bank income'!$A$8:$A$77,$A13,'Bank income'!$B$8:$B$77,$B13)/$C13</x:f>
        <x:v>0.6282562059454488</x:v>
      </x:c>
      <x:c r="N13" s="2"/>
    </x:row>
    <x:row r="14" ht="22" customHeight="1">
      <x:c r="A14" s="29" t="str">
        <x:v>lander</x:v>
      </x:c>
      <x:c r="B14" s="19" t="n">
        <x:v>1934</x:v>
      </x:c>
      <x:c r="C14" s="30" t="n">
        <x:f>SUMIFS('Bank assets'!$C$8:$C$77,'Bank assets'!$A$8:$A$77,$A14,'Bank assets'!$B$8:$B$77,$B14)</x:f>
        <x:v>1281.4</x:v>
      </x:c>
      <x:c r="D14" s="30" t="n">
        <x:f>SUMIFS('Bank funding'!$C$8:$C$77,'Bank funding'!$A$8:$A$77,$A14,'Bank funding'!$B$8:$B$77,$B14)+SUMIFS('Bank funding'!$D$8:$D$77,'Bank funding'!$A$8:$A$77,$A14,'Bank funding'!$B$8:$B$77,$B14)</x:f>
        <x:v>243.2</x:v>
      </x:c>
      <x:c r="E14" s="30" t="n">
        <x:f>SUMIFS('Bank assets'!$H$8:$H$77,'Bank assets'!$A$8:$A$77,$A14,'Bank assets'!$B$8:$B$77,$B14)+SUMIFS('Bank assets'!$E$8:$E$77,'Bank assets'!$A$8:$A$77,$A14,'Bank assets'!$B$8:$B$77,$B14)</x:f>
        <x:v>819.3</x:v>
      </x:c>
      <x:c r="F14" s="35" t="n">
        <x:f>100*$D14/$C14</x:f>
        <x:v>18.979241454658965</x:v>
      </x:c>
      <x:c r="G14" s="35" t="n">
        <x:f>100*$E14/$C14</x:f>
        <x:v>63.93788044326517</x:v>
      </x:c>
      <x:c r="H14" s="35" t="n">
        <x:f>100*SUMIFS('Bank assets'!$D$8:$D$77,'Bank assets'!$A$8:$A$77,$A14,'Bank assets'!$B$8:$B$77,$B14)/$C14</x:f>
        <x:v>23.443109099422504</x:v>
      </x:c>
      <x:c r="I14" s="35" t="n">
        <x:f>100*SUMIFS('Bank assets'!$F$8:$F$77,'Bank assets'!$A$8:$A$77,$A14,'Bank assets'!$B$8:$B$77,$B14)/$C14</x:f>
        <x:v>5.181832370844389</x:v>
      </x:c>
      <x:c r="J14" s="35" t="n">
        <x:f>100*SUMIFS('Bank funding'!$F$8:$F$77,'Bank funding'!$A$8:$A$77,$A14,'Bank funding'!$B$8:$B$77,$B14)/$C14</x:f>
        <x:v>42.18042765724988</x:v>
      </x:c>
      <x:c r="K14" s="35" t="n">
        <x:f>100*SUMIFS('Bank funding'!$G$8:$G$77,'Bank funding'!$A$8:$A$77,$A14,'Bank funding'!$B$8:$B$77,$B14)/$C14</x:f>
        <x:v>33.400967691587326</x:v>
      </x:c>
      <x:c r="L14" s="35" t="n">
        <x:f>100*SUMIFS('Bank income'!$C$8:$C$77,'Bank income'!$A$8:$A$77,$A14,'Bank income'!$B$8:$B$77,$B14)/$C14</x:f>
        <x:v>1.2252224129857967</x:v>
      </x:c>
      <x:c r="M14" s="35" t="n">
        <x:f>100*SUMIFS('Bank income'!$D$8:$D$77,'Bank income'!$A$8:$A$77,$A14,'Bank income'!$B$8:$B$77,$B14)/$C14</x:f>
        <x:v>0.5072576869049477</x:v>
      </x:c>
      <x:c r="N14" s="2"/>
    </x:row>
    <x:row r="15" ht="22" customHeight="1">
      <x:c r="A15" s="31" t="str">
        <x:v>lander</x:v>
      </x:c>
      <x:c r="B15" s="22" t="n">
        <x:v>1935</x:v>
      </x:c>
      <x:c r="C15" s="32" t="n">
        <x:f>SUMIFS('Bank assets'!$C$8:$C$77,'Bank assets'!$A$8:$A$77,$A15,'Bank assets'!$B$8:$B$77,$B15)</x:f>
        <x:v>1308.3</x:v>
      </x:c>
      <x:c r="D15" s="32" t="n">
        <x:f>SUMIFS('Bank funding'!$C$8:$C$77,'Bank funding'!$A$8:$A$77,$A15,'Bank funding'!$B$8:$B$77,$B15)+SUMIFS('Bank funding'!$D$8:$D$77,'Bank funding'!$A$8:$A$77,$A15,'Bank funding'!$B$8:$B$77,$B15)</x:f>
        <x:v>244.2</x:v>
      </x:c>
      <x:c r="E15" s="32" t="n">
        <x:f>SUMIFS('Bank assets'!$H$8:$H$77,'Bank assets'!$A$8:$A$77,$A15,'Bank assets'!$B$8:$B$77,$B15)+SUMIFS('Bank assets'!$E$8:$E$77,'Bank assets'!$A$8:$A$77,$A15,'Bank assets'!$B$8:$B$77,$B15)</x:f>
        <x:v>823.6</x:v>
      </x:c>
      <x:c r="F15" s="36" t="n">
        <x:f>100*$D15/$C15</x:f>
        <x:v>18.665443705572116</x:v>
      </x:c>
      <x:c r="G15" s="36" t="n">
        <x:f>100*$E15/$C15</x:f>
        <x:v>62.9519223419705</x:v>
      </x:c>
      <x:c r="H15" s="36" t="n">
        <x:f>100*SUMIFS('Bank assets'!$D$8:$D$77,'Bank assets'!$A$8:$A$77,$A15,'Bank assets'!$B$8:$B$77,$B15)/$C15</x:f>
        <x:v>23.60314912481847</x:v>
      </x:c>
      <x:c r="I15" s="36" t="n">
        <x:f>100*SUMIFS('Bank assets'!$F$8:$F$77,'Bank assets'!$A$8:$A$77,$A15,'Bank assets'!$B$8:$B$77,$B15)/$C15</x:f>
        <x:v>4.983566460291982</x:v>
      </x:c>
      <x:c r="J15" s="36" t="n">
        <x:f>100*SUMIFS('Bank funding'!$F$8:$F$77,'Bank funding'!$A$8:$A$77,$A15,'Bank funding'!$B$8:$B$77,$B15)/$C15</x:f>
        <x:v>40.044332339677446</x:v>
      </x:c>
      <x:c r="K15" s="36" t="n">
        <x:f>100*SUMIFS('Bank funding'!$G$8:$G$77,'Bank funding'!$A$8:$A$77,$A15,'Bank funding'!$B$8:$B$77,$B15)/$C15</x:f>
        <x:v>35.09133990674922</x:v>
      </x:c>
      <x:c r="L15" s="36" t="n">
        <x:f>100*SUMIFS('Bank income'!$C$8:$C$77,'Bank income'!$A$8:$A$77,$A15,'Bank income'!$B$8:$B$77,$B15)/$C15</x:f>
        <x:v>1.1083084919361004</x:v>
      </x:c>
      <x:c r="M15" s="36" t="n">
        <x:f>100*SUMIFS('Bank income'!$D$8:$D$77,'Bank income'!$A$8:$A$77,$A15,'Bank income'!$B$8:$B$77,$B15)/$C15</x:f>
        <x:v>0.47389742413819463</x:v>
      </x:c>
      <x:c r="N15" s="2"/>
    </x:row>
    <x:row r="16" ht="22" customHeight="1">
      <x:c r="A16" s="29" t="str">
        <x:v>lander</x:v>
      </x:c>
      <x:c r="B16" s="19" t="n">
        <x:v>1936</x:v>
      </x:c>
      <x:c r="C16" s="30" t="n">
        <x:f>SUMIFS('Bank assets'!$C$8:$C$77,'Bank assets'!$A$8:$A$77,$A16,'Bank assets'!$B$8:$B$77,$B16)</x:f>
        <x:v>1326</x:v>
      </x:c>
      <x:c r="D16" s="30" t="n">
        <x:f>SUMIFS('Bank funding'!$C$8:$C$77,'Bank funding'!$A$8:$A$77,$A16,'Bank funding'!$B$8:$B$77,$B16)+SUMIFS('Bank funding'!$D$8:$D$77,'Bank funding'!$A$8:$A$77,$A16,'Bank funding'!$B$8:$B$77,$B16)</x:f>
        <x:v>244.3</x:v>
      </x:c>
      <x:c r="E16" s="30" t="n">
        <x:f>SUMIFS('Bank assets'!$H$8:$H$77,'Bank assets'!$A$8:$A$77,$A16,'Bank assets'!$B$8:$B$77,$B16)+SUMIFS('Bank assets'!$E$8:$E$77,'Bank assets'!$A$8:$A$77,$A16,'Bank assets'!$B$8:$B$77,$B16)</x:f>
        <x:v>830.3000000000001</x:v>
      </x:c>
      <x:c r="F16" s="35" t="n">
        <x:f>100*$D16/$C16</x:f>
        <x:v>18.423831070889893</x:v>
      </x:c>
      <x:c r="G16" s="35" t="n">
        <x:f>100*$E16/$C16</x:f>
        <x:v>62.61689291101056</x:v>
      </x:c>
      <x:c r="H16" s="35" t="n">
        <x:f>100*SUMIFS('Bank assets'!$D$8:$D$77,'Bank assets'!$A$8:$A$77,$A16,'Bank assets'!$B$8:$B$77,$B16)/$C16</x:f>
        <x:v>22.398190045248867</x:v>
      </x:c>
      <x:c r="I16" s="35" t="n">
        <x:f>100*SUMIFS('Bank assets'!$F$8:$F$77,'Bank assets'!$A$8:$A$77,$A16,'Bank assets'!$B$8:$B$77,$B16)/$C16</x:f>
        <x:v>4.97737556561086</x:v>
      </x:c>
      <x:c r="J16" s="35" t="n">
        <x:f>100*SUMIFS('Bank funding'!$F$8:$F$77,'Bank funding'!$A$8:$A$77,$A16,'Bank funding'!$B$8:$B$77,$B16)/$C16</x:f>
        <x:v>37.971342383107086</x:v>
      </x:c>
      <x:c r="K16" s="35" t="n">
        <x:f>100*SUMIFS('Bank funding'!$G$8:$G$77,'Bank funding'!$A$8:$A$77,$A16,'Bank funding'!$B$8:$B$77,$B16)/$C16</x:f>
        <x:v>36.27450980392157</x:v>
      </x:c>
      <x:c r="L16" s="35" t="n">
        <x:f>100*SUMIFS('Bank income'!$C$8:$C$77,'Bank income'!$A$8:$A$77,$A16,'Bank income'!$B$8:$B$77,$B16)/$C16</x:f>
        <x:v>1.1463046757164403</x:v>
      </x:c>
      <x:c r="M16" s="35" t="n">
        <x:f>100*SUMIFS('Bank income'!$D$8:$D$77,'Bank income'!$A$8:$A$77,$A16,'Bank income'!$B$8:$B$77,$B16)/$C16</x:f>
        <x:v>0.46003016591251883</x:v>
      </x:c>
      <x:c r="N16" s="2"/>
    </x:row>
    <x:row r="17" ht="22" customHeight="1">
      <x:c r="A17" s="31" t="str">
        <x:v>lander</x:v>
      </x:c>
      <x:c r="B17" s="22" t="n">
        <x:v>1937</x:v>
      </x:c>
      <x:c r="C17" s="32" t="n">
        <x:f>SUMIFS('Bank assets'!$C$8:$C$77,'Bank assets'!$A$8:$A$77,$A17,'Bank assets'!$B$8:$B$77,$B17)</x:f>
        <x:v>1331</x:v>
      </x:c>
      <x:c r="D17" s="32" t="n">
        <x:f>SUMIFS('Bank funding'!$C$8:$C$77,'Bank funding'!$A$8:$A$77,$A17,'Bank funding'!$B$8:$B$77,$B17)+SUMIFS('Bank funding'!$D$8:$D$77,'Bank funding'!$A$8:$A$77,$A17,'Bank funding'!$B$8:$B$77,$B17)</x:f>
        <x:v>198.4</x:v>
      </x:c>
      <x:c r="E17" s="32" t="n">
        <x:f>SUMIFS('Bank assets'!$H$8:$H$77,'Bank assets'!$A$8:$A$77,$A17,'Bank assets'!$B$8:$B$77,$B17)+SUMIFS('Bank assets'!$E$8:$E$77,'Bank assets'!$A$8:$A$77,$A17,'Bank assets'!$B$8:$B$77,$B17)</x:f>
        <x:v>848.5</x:v>
      </x:c>
      <x:c r="F17" s="36" t="n">
        <x:f>100*$D17/$C17</x:f>
        <x:v>14.906085649887302</x:v>
      </x:c>
      <x:c r="G17" s="36" t="n">
        <x:f>100*$E17/$C17</x:f>
        <x:v>63.74906085649887</x:v>
      </x:c>
      <x:c r="H17" s="36" t="n">
        <x:f>100*SUMIFS('Bank assets'!$D$8:$D$77,'Bank assets'!$A$8:$A$77,$A17,'Bank assets'!$B$8:$B$77,$B17)/$C17</x:f>
        <x:v>21.923365890308038</x:v>
      </x:c>
      <x:c r="I17" s="36" t="n">
        <x:f>100*SUMIFS('Bank assets'!$F$8:$F$77,'Bank assets'!$A$8:$A$77,$A17,'Bank assets'!$B$8:$B$77,$B17)/$C17</x:f>
        <x:v>6.356123215627348</x:v>
      </x:c>
      <x:c r="J17" s="36" t="n">
        <x:f>100*SUMIFS('Bank funding'!$F$8:$F$77,'Bank funding'!$A$8:$A$77,$A17,'Bank funding'!$B$8:$B$77,$B17)/$C17</x:f>
        <x:v>37.84372652141247</x:v>
      </x:c>
      <x:c r="K17" s="36" t="n">
        <x:f>100*SUMIFS('Bank funding'!$G$8:$G$77,'Bank funding'!$A$8:$A$77,$A17,'Bank funding'!$B$8:$B$77,$B17)/$C17</x:f>
        <x:v>36.86701728024042</x:v>
      </x:c>
      <x:c r="L17" s="36" t="n">
        <x:f>100*SUMIFS('Bank income'!$C$8:$C$77,'Bank income'!$A$8:$A$77,$A17,'Bank income'!$B$8:$B$77,$B17)/$C17</x:f>
        <x:v>1.4350112697220136</x:v>
      </x:c>
      <x:c r="M17" s="36" t="n">
        <x:f>100*SUMIFS('Bank income'!$D$8:$D$77,'Bank income'!$A$8:$A$77,$A17,'Bank income'!$B$8:$B$77,$B17)/$C17</x:f>
        <x:v>0.6611570247933886</x:v>
      </x:c>
      <x:c r="N17" s="2"/>
    </x:row>
    <x:row r="18" ht="22" customHeight="1">
      <x:c r="A18" s="29" t="str">
        <x:v>ceska</x:v>
      </x:c>
      <x:c r="B18" s="19" t="n">
        <x:v>1933</x:v>
      </x:c>
      <x:c r="C18" s="30" t="n">
        <x:f>SUMIFS('Bank assets'!$C$8:$C$77,'Bank assets'!$A$8:$A$77,$A18,'Bank assets'!$B$8:$B$77,$B18)</x:f>
        <x:v>502.4</x:v>
      </x:c>
      <x:c r="D18" s="30" t="n">
        <x:f>SUMIFS('Bank funding'!$C$8:$C$77,'Bank funding'!$A$8:$A$77,$A18,'Bank funding'!$B$8:$B$77,$B18)+SUMIFS('Bank funding'!$D$8:$D$77,'Bank funding'!$A$8:$A$77,$A18,'Bank funding'!$B$8:$B$77,$B18)</x:f>
        <x:v>59.9</x:v>
      </x:c>
      <x:c r="E18" s="30" t="n">
        <x:f>SUMIFS('Bank assets'!$H$8:$H$77,'Bank assets'!$A$8:$A$77,$A18,'Bank assets'!$B$8:$B$77,$B18)+SUMIFS('Bank assets'!$E$8:$E$77,'Bank assets'!$A$8:$A$77,$A18,'Bank assets'!$B$8:$B$77,$B18)</x:f>
        <x:v>341.7</x:v>
      </x:c>
      <x:c r="F18" s="35" t="n">
        <x:f>100*$D18/$C18</x:f>
        <x:v>11.922770700636944</x:v>
      </x:c>
      <x:c r="G18" s="35" t="n">
        <x:f>100*$E18/$C18</x:f>
        <x:v>68.01353503184714</x:v>
      </x:c>
      <x:c r="H18" s="35" t="n">
        <x:f>100*SUMIFS('Bank assets'!$D$8:$D$77,'Bank assets'!$A$8:$A$77,$A18,'Bank assets'!$B$8:$B$77,$B18)/$C18</x:f>
        <x:v>13.117038216560513</x:v>
      </x:c>
      <x:c r="I18" s="35" t="n">
        <x:f>100*SUMIFS('Bank assets'!$F$8:$F$77,'Bank assets'!$A$8:$A$77,$A18,'Bank assets'!$B$8:$B$77,$B18)/$C18</x:f>
        <x:v>8.04140127388535</x:v>
      </x:c>
      <x:c r="J18" s="35" t="n">
        <x:f>100*SUMIFS('Bank funding'!$F$8:$F$77,'Bank funding'!$A$8:$A$77,$A18,'Bank funding'!$B$8:$B$77,$B18)/$C18</x:f>
        <x:v>38.156847133757964</x:v>
      </x:c>
      <x:c r="K18" s="35" t="n">
        <x:f>100*SUMIFS('Bank funding'!$G$8:$G$77,'Bank funding'!$A$8:$A$77,$A18,'Bank funding'!$B$8:$B$77,$B18)/$C18</x:f>
        <x:v>47.830414012738856</x:v>
      </x:c>
      <x:c r="L18" s="35" t="n">
        <x:f>100*SUMIFS('Bank income'!$C$8:$C$77,'Bank income'!$A$8:$A$77,$A18,'Bank income'!$B$8:$B$77,$B18)/$C18</x:f>
        <x:v>1.3335987261146498</x:v>
      </x:c>
      <x:c r="M18" s="35" t="n">
        <x:f>100*SUMIFS('Bank income'!$D$8:$D$77,'Bank income'!$A$8:$A$77,$A18,'Bank income'!$B$8:$B$77,$B18)/$C18</x:f>
        <x:v>0.8558917197452229</x:v>
      </x:c>
      <x:c r="N18" s="2"/>
    </x:row>
    <x:row r="19" ht="22" customHeight="1">
      <x:c r="A19" s="31" t="str">
        <x:v>ceska</x:v>
      </x:c>
      <x:c r="B19" s="22" t="n">
        <x:v>1934</x:v>
      </x:c>
      <x:c r="C19" s="32" t="n">
        <x:f>SUMIFS('Bank assets'!$C$8:$C$77,'Bank assets'!$A$8:$A$77,$A19,'Bank assets'!$B$8:$B$77,$B19)</x:f>
        <x:v>504.4</x:v>
      </x:c>
      <x:c r="D19" s="32" t="n">
        <x:f>SUMIFS('Bank funding'!$C$8:$C$77,'Bank funding'!$A$8:$A$77,$A19,'Bank funding'!$B$8:$B$77,$B19)+SUMIFS('Bank funding'!$D$8:$D$77,'Bank funding'!$A$8:$A$77,$A19,'Bank funding'!$B$8:$B$77,$B19)</x:f>
        <x:v>60</x:v>
      </x:c>
      <x:c r="E19" s="32" t="n">
        <x:f>SUMIFS('Bank assets'!$H$8:$H$77,'Bank assets'!$A$8:$A$77,$A19,'Bank assets'!$B$8:$B$77,$B19)+SUMIFS('Bank assets'!$E$8:$E$77,'Bank assets'!$A$8:$A$77,$A19,'Bank assets'!$B$8:$B$77,$B19)</x:f>
        <x:v>346</x:v>
      </x:c>
      <x:c r="F19" s="36" t="n">
        <x:f>100*$D19/$C19</x:f>
        <x:v>11.89532117367169</x:v>
      </x:c>
      <x:c r="G19" s="36" t="n">
        <x:f>100*$E19/$C19</x:f>
        <x:v>68.59635210150674</x:v>
      </x:c>
      <x:c r="H19" s="36" t="n">
        <x:f>100*SUMIFS('Bank assets'!$D$8:$D$77,'Bank assets'!$A$8:$A$77,$A19,'Bank assets'!$B$8:$B$77,$B19)/$C19</x:f>
        <x:v>12.113402061855671</x:v>
      </x:c>
      <x:c r="I19" s="36" t="n">
        <x:f>100*SUMIFS('Bank assets'!$F$8:$F$77,'Bank assets'!$A$8:$A$77,$A19,'Bank assets'!$B$8:$B$77,$B19)/$C19</x:f>
        <x:v>7.930214115781126</x:v>
      </x:c>
      <x:c r="J19" s="36" t="n">
        <x:f>100*SUMIFS('Bank funding'!$F$8:$F$77,'Bank funding'!$A$8:$A$77,$A19,'Bank funding'!$B$8:$B$77,$B19)/$C19</x:f>
        <x:v>37.92624900872324</x:v>
      </x:c>
      <x:c r="K19" s="36" t="n">
        <x:f>100*SUMIFS('Bank funding'!$G$8:$G$77,'Bank funding'!$A$8:$A$77,$A19,'Bank funding'!$B$8:$B$77,$B19)/$C19</x:f>
        <x:v>48.1958762886598</x:v>
      </x:c>
      <x:c r="L19" s="36" t="n">
        <x:f>100*SUMIFS('Bank income'!$C$8:$C$77,'Bank income'!$A$8:$A$77,$A19,'Bank income'!$B$8:$B$77,$B19)/$C19</x:f>
        <x:v>1.1697065820777162</x:v>
      </x:c>
      <x:c r="M19" s="36" t="n">
        <x:f>100*SUMIFS('Bank income'!$D$8:$D$77,'Bank income'!$A$8:$A$77,$A19,'Bank income'!$B$8:$B$77,$B19)/$C19</x:f>
        <x:v>0.6938937351308485</x:v>
      </x:c>
      <x:c r="N19" s="2"/>
    </x:row>
    <x:row r="20" ht="22" customHeight="1">
      <x:c r="A20" s="29" t="str">
        <x:v>ceska</x:v>
      </x:c>
      <x:c r="B20" s="19" t="n">
        <x:v>1935</x:v>
      </x:c>
      <x:c r="C20" s="30" t="n">
        <x:f>SUMIFS('Bank assets'!$C$8:$C$77,'Bank assets'!$A$8:$A$77,$A20,'Bank assets'!$B$8:$B$77,$B20)</x:f>
        <x:v>570.7</x:v>
      </x:c>
      <x:c r="D20" s="30" t="n">
        <x:f>SUMIFS('Bank funding'!$C$8:$C$77,'Bank funding'!$A$8:$A$77,$A20,'Bank funding'!$B$8:$B$77,$B20)+SUMIFS('Bank funding'!$D$8:$D$77,'Bank funding'!$A$8:$A$77,$A20,'Bank funding'!$B$8:$B$77,$B20)</x:f>
        <x:v>59.4</x:v>
      </x:c>
      <x:c r="E20" s="30" t="n">
        <x:f>SUMIFS('Bank assets'!$H$8:$H$77,'Bank assets'!$A$8:$A$77,$A20,'Bank assets'!$B$8:$B$77,$B20)+SUMIFS('Bank assets'!$E$8:$E$77,'Bank assets'!$A$8:$A$77,$A20,'Bank assets'!$B$8:$B$77,$B20)</x:f>
        <x:v>390.9</x:v>
      </x:c>
      <x:c r="F20" s="35" t="n">
        <x:f>100*$D20/$C20</x:f>
        <x:v>10.408270544944804</x:v>
      </x:c>
      <x:c r="G20" s="35" t="n">
        <x:f>100*$E20/$C20</x:f>
        <x:v>68.49483090940949</x:v>
      </x:c>
      <x:c r="H20" s="35" t="n">
        <x:f>100*SUMIFS('Bank assets'!$D$8:$D$77,'Bank assets'!$A$8:$A$77,$A20,'Bank assets'!$B$8:$B$77,$B20)/$C20</x:f>
        <x:v>13.860171718941649</x:v>
      </x:c>
      <x:c r="I20" s="35" t="n">
        <x:f>100*SUMIFS('Bank assets'!$F$8:$F$77,'Bank assets'!$A$8:$A$77,$A20,'Bank assets'!$B$8:$B$77,$B20)/$C20</x:f>
        <x:v>8.288067285789381</x:v>
      </x:c>
      <x:c r="J20" s="35" t="n">
        <x:f>100*SUMIFS('Bank funding'!$F$8:$F$77,'Bank funding'!$A$8:$A$77,$A20,'Bank funding'!$B$8:$B$77,$B20)/$C20</x:f>
        <x:v>35.37760644822148</x:v>
      </x:c>
      <x:c r="K20" s="35" t="n">
        <x:f>100*SUMIFS('Bank funding'!$G$8:$G$77,'Bank funding'!$A$8:$A$77,$A20,'Bank funding'!$B$8:$B$77,$B20)/$C20</x:f>
        <x:v>52.37427720343437</x:v>
      </x:c>
      <x:c r="L20" s="35" t="n">
        <x:f>100*SUMIFS('Bank income'!$C$8:$C$77,'Bank income'!$A$8:$A$77,$A20,'Bank income'!$B$8:$B$77,$B20)/$C20</x:f>
        <x:v>1.0513404590853337</x:v>
      </x:c>
      <x:c r="M20" s="35" t="n">
        <x:f>100*SUMIFS('Bank income'!$D$8:$D$77,'Bank income'!$A$8:$A$77,$A20,'Bank income'!$B$8:$B$77,$B20)/$C20</x:f>
        <x:v>0.6132819344664446</x:v>
      </x:c>
      <x:c r="N20" s="2"/>
    </x:row>
    <x:row r="21" ht="22" customHeight="1">
      <x:c r="A21" s="31" t="str">
        <x:v>ceska</x:v>
      </x:c>
      <x:c r="B21" s="22" t="n">
        <x:v>1936</x:v>
      </x:c>
      <x:c r="C21" s="32" t="n">
        <x:f>SUMIFS('Bank assets'!$C$8:$C$77,'Bank assets'!$A$8:$A$77,$A21,'Bank assets'!$B$8:$B$77,$B21)</x:f>
        <x:v>624.9</x:v>
      </x:c>
      <x:c r="D21" s="32" t="n">
        <x:f>SUMIFS('Bank funding'!$C$8:$C$77,'Bank funding'!$A$8:$A$77,$A21,'Bank funding'!$B$8:$B$77,$B21)+SUMIFS('Bank funding'!$D$8:$D$77,'Bank funding'!$A$8:$A$77,$A21,'Bank funding'!$B$8:$B$77,$B21)</x:f>
        <x:v>60.1</x:v>
      </x:c>
      <x:c r="E21" s="32" t="n">
        <x:f>SUMIFS('Bank assets'!$H$8:$H$77,'Bank assets'!$A$8:$A$77,$A21,'Bank assets'!$B$8:$B$77,$B21)+SUMIFS('Bank assets'!$E$8:$E$77,'Bank assets'!$A$8:$A$77,$A21,'Bank assets'!$B$8:$B$77,$B21)</x:f>
        <x:v>426.3</x:v>
      </x:c>
      <x:c r="F21" s="36" t="n">
        <x:f>100*$D21/$C21</x:f>
        <x:v>9.617538806208994</x:v>
      </x:c>
      <x:c r="G21" s="36" t="n">
        <x:f>100*$E21/$C21</x:f>
        <x:v>68.21891502640423</x:v>
      </x:c>
      <x:c r="H21" s="36" t="n">
        <x:f>100*SUMIFS('Bank assets'!$D$8:$D$77,'Bank assets'!$A$8:$A$77,$A21,'Bank assets'!$B$8:$B$77,$B21)/$C21</x:f>
        <x:v>13.810209633541367</x:v>
      </x:c>
      <x:c r="I21" s="36" t="n">
        <x:f>100*SUMIFS('Bank assets'!$F$8:$F$77,'Bank assets'!$A$8:$A$77,$A21,'Bank assets'!$B$8:$B$77,$B21)/$C21</x:f>
        <x:v>9.137461993919027</x:v>
      </x:c>
      <x:c r="J21" s="36" t="n">
        <x:f>100*SUMIFS('Bank funding'!$F$8:$F$77,'Bank funding'!$A$8:$A$77,$A21,'Bank funding'!$B$8:$B$77,$B21)/$C21</x:f>
        <x:v>33.12530004800768</x:v>
      </x:c>
      <x:c r="K21" s="36" t="n">
        <x:f>100*SUMIFS('Bank funding'!$G$8:$G$77,'Bank funding'!$A$8:$A$77,$A21,'Bank funding'!$B$8:$B$77,$B21)/$C21</x:f>
        <x:v>54.90478476556249</x:v>
      </x:c>
      <x:c r="L21" s="36" t="n">
        <x:f>100*SUMIFS('Bank income'!$C$8:$C$77,'Bank income'!$A$8:$A$77,$A21,'Bank income'!$B$8:$B$77,$B21)/$C21</x:f>
        <x:v>0.8801408225316051</x:v>
      </x:c>
      <x:c r="M21" s="36" t="n">
        <x:f>100*SUMIFS('Bank income'!$D$8:$D$77,'Bank income'!$A$8:$A$77,$A21,'Bank income'!$B$8:$B$77,$B21)/$C21</x:f>
        <x:v>0.5760921747479597</x:v>
      </x:c>
      <x:c r="N21" s="2"/>
    </x:row>
    <x:row r="22" ht="22" customHeight="1">
      <x:c r="A22" s="29" t="str">
        <x:v>ceska</x:v>
      </x:c>
      <x:c r="B22" s="19" t="n">
        <x:v>1937</x:v>
      </x:c>
      <x:c r="C22" s="30" t="n">
        <x:f>SUMIFS('Bank assets'!$C$8:$C$77,'Bank assets'!$A$8:$A$77,$A22,'Bank assets'!$B$8:$B$77,$B22)</x:f>
        <x:v>603</x:v>
      </x:c>
      <x:c r="D22" s="30" t="n">
        <x:f>SUMIFS('Bank funding'!$C$8:$C$77,'Bank funding'!$A$8:$A$77,$A22,'Bank funding'!$B$8:$B$77,$B22)+SUMIFS('Bank funding'!$D$8:$D$77,'Bank funding'!$A$8:$A$77,$A22,'Bank funding'!$B$8:$B$77,$B22)</x:f>
        <x:v>60.2</x:v>
      </x:c>
      <x:c r="E22" s="30" t="n">
        <x:f>SUMIFS('Bank assets'!$H$8:$H$77,'Bank assets'!$A$8:$A$77,$A22,'Bank assets'!$B$8:$B$77,$B22)+SUMIFS('Bank assets'!$E$8:$E$77,'Bank assets'!$A$8:$A$77,$A22,'Bank assets'!$B$8:$B$77,$B22)</x:f>
        <x:v>376.59999999999997</x:v>
      </x:c>
      <x:c r="F22" s="35" t="n">
        <x:f>100*$D22/$C22</x:f>
        <x:v>9.983416252072969</x:v>
      </x:c>
      <x:c r="G22" s="35" t="n">
        <x:f>100*$E22/$C22</x:f>
        <x:v>62.45439469320066</x:v>
      </x:c>
      <x:c r="H22" s="35" t="n">
        <x:f>100*SUMIFS('Bank assets'!$D$8:$D$77,'Bank assets'!$A$8:$A$77,$A22,'Bank assets'!$B$8:$B$77,$B22)/$C22</x:f>
        <x:v>12.752902155887233</x:v>
      </x:c>
      <x:c r="I22" s="35" t="n">
        <x:f>100*SUMIFS('Bank assets'!$F$8:$F$77,'Bank assets'!$A$8:$A$77,$A22,'Bank assets'!$B$8:$B$77,$B22)/$C22</x:f>
        <x:v>15.17412935323383</x:v>
      </x:c>
      <x:c r="J22" s="35" t="n">
        <x:f>100*SUMIFS('Bank funding'!$F$8:$F$77,'Bank funding'!$A$8:$A$77,$A22,'Bank funding'!$B$8:$B$77,$B22)/$C22</x:f>
        <x:v>35.55555555555556</x:v>
      </x:c>
      <x:c r="K22" s="35" t="n">
        <x:f>100*SUMIFS('Bank funding'!$G$8:$G$77,'Bank funding'!$A$8:$A$77,$A22,'Bank funding'!$B$8:$B$77,$B22)/$C22</x:f>
        <x:v>52.60364842454395</x:v>
      </x:c>
      <x:c r="L22" s="35" t="n">
        <x:f>100*SUMIFS('Bank income'!$C$8:$C$77,'Bank income'!$A$8:$A$77,$A22,'Bank income'!$B$8:$B$77,$B22)/$C22</x:f>
        <x:v>1.144278606965174</x:v>
      </x:c>
      <x:c r="M22" s="35" t="n">
        <x:f>100*SUMIFS('Bank income'!$D$8:$D$77,'Bank income'!$A$8:$A$77,$A22,'Bank income'!$B$8:$B$77,$B22)/$C22</x:f>
        <x:v>0.6301824212271974</x:v>
      </x:c>
      <x:c r="N22" s="2"/>
    </x:row>
    <x:row r="23" ht="22" customHeight="1">
      <x:c r="A23" s="31" t="str">
        <x:v>union</x:v>
      </x:c>
      <x:c r="B23" s="22" t="n">
        <x:v>1933</x:v>
      </x:c>
      <x:c r="C23" s="32" t="n">
        <x:f>SUMIFS('Bank assets'!$C$8:$C$77,'Bank assets'!$A$8:$A$77,$A23,'Bank assets'!$B$8:$B$77,$B23)</x:f>
        <x:v>2649</x:v>
      </x:c>
      <x:c r="D23" s="32" t="n">
        <x:f>SUMIFS('Bank funding'!$C$8:$C$77,'Bank funding'!$A$8:$A$77,$A23,'Bank funding'!$B$8:$B$77,$B23)+SUMIFS('Bank funding'!$D$8:$D$77,'Bank funding'!$A$8:$A$77,$A23,'Bank funding'!$B$8:$B$77,$B23)</x:f>
        <x:v>225</x:v>
      </x:c>
      <x:c r="E23" s="32" t="n">
        <x:f>SUMIFS('Bank assets'!$H$8:$H$77,'Bank assets'!$A$8:$A$77,$A23,'Bank assets'!$B$8:$B$77,$B23)+SUMIFS('Bank assets'!$E$8:$E$77,'Bank assets'!$A$8:$A$77,$A23,'Bank assets'!$B$8:$B$77,$B23)</x:f>
        <x:v>2036.5</x:v>
      </x:c>
      <x:c r="F23" s="36" t="n">
        <x:f>100*$D23/$C23</x:f>
        <x:v>8.493771234428086</x:v>
      </x:c>
      <x:c r="G23" s="36" t="n">
        <x:f>100*$E23/$C23</x:f>
        <x:v>76.87806719516799</x:v>
      </x:c>
      <x:c r="H23" s="36" t="n">
        <x:f>100*SUMIFS('Bank assets'!$D$8:$D$77,'Bank assets'!$A$8:$A$77,$A23,'Bank assets'!$B$8:$B$77,$B23)/$C23</x:f>
        <x:v>11.223103057757644</x:v>
      </x:c>
      <x:c r="I23" s="36" t="n">
        <x:f>100*SUMIFS('Bank assets'!$F$8:$F$77,'Bank assets'!$A$8:$A$77,$A23,'Bank assets'!$B$8:$B$77,$B23)/$C23</x:f>
        <x:v>4.748961872404681</x:v>
      </x:c>
      <x:c r="J23" s="36" t="n">
        <x:f>100*SUMIFS('Bank funding'!$F$8:$F$77,'Bank funding'!$A$8:$A$77,$A23,'Bank funding'!$B$8:$B$77,$B23)/$C23</x:f>
        <x:v>47.34239335598338</x:v>
      </x:c>
      <x:c r="K23" s="36" t="n">
        <x:f>100*SUMIFS('Bank funding'!$G$8:$G$77,'Bank funding'!$A$8:$A$77,$A23,'Bank funding'!$B$8:$B$77,$B23)/$C23</x:f>
        <x:v>38.45979614949037</x:v>
      </x:c>
      <x:c r="L23" s="36" t="n">
        <x:f>100*SUMIFS('Bank income'!$C$8:$C$77,'Bank income'!$A$8:$A$77,$A23,'Bank income'!$B$8:$B$77,$B23)/$C23</x:f>
        <x:v>1.7365043412608532</x:v>
      </x:c>
      <x:c r="M23" s="36" t="n">
        <x:f>100*SUMIFS('Bank income'!$D$8:$D$77,'Bank income'!$A$8:$A$77,$A23,'Bank income'!$B$8:$B$77,$B23)/$C23</x:f>
        <x:v>0.9890524726311816</x:v>
      </x:c>
      <x:c r="N23" s="2"/>
    </x:row>
    <x:row r="24" ht="22" customHeight="1">
      <x:c r="A24" s="29" t="str">
        <x:v>union</x:v>
      </x:c>
      <x:c r="B24" s="19" t="n">
        <x:v>1934</x:v>
      </x:c>
      <x:c r="C24" s="30" t="n">
        <x:f>SUMIFS('Bank assets'!$C$8:$C$77,'Bank assets'!$A$8:$A$77,$A24,'Bank assets'!$B$8:$B$77,$B24)</x:f>
        <x:v>2587.2</x:v>
      </x:c>
      <x:c r="D24" s="30" t="n">
        <x:f>SUMIFS('Bank funding'!$C$8:$C$77,'Bank funding'!$A$8:$A$77,$A24,'Bank funding'!$B$8:$B$77,$B24)+SUMIFS('Bank funding'!$D$8:$D$77,'Bank funding'!$A$8:$A$77,$A24,'Bank funding'!$B$8:$B$77,$B24)</x:f>
        <x:v>225</x:v>
      </x:c>
      <x:c r="E24" s="30" t="n">
        <x:f>SUMIFS('Bank assets'!$H$8:$H$77,'Bank assets'!$A$8:$A$77,$A24,'Bank assets'!$B$8:$B$77,$B24)+SUMIFS('Bank assets'!$E$8:$E$77,'Bank assets'!$A$8:$A$77,$A24,'Bank assets'!$B$8:$B$77,$B24)</x:f>
        <x:v>2013.6</x:v>
      </x:c>
      <x:c r="F24" s="35" t="n">
        <x:f>100*$D24/$C24</x:f>
        <x:v>8.696660482374769</x:v>
      </x:c>
      <x:c r="G24" s="35" t="n">
        <x:f>100*$E24/$C24</x:f>
        <x:v>77.82931354359927</x:v>
      </x:c>
      <x:c r="H24" s="35" t="n">
        <x:f>100*SUMIFS('Bank assets'!$D$8:$D$77,'Bank assets'!$A$8:$A$77,$A24,'Bank assets'!$B$8:$B$77,$B24)/$C24</x:f>
        <x:v>10.737476808905381</x:v>
      </x:c>
      <x:c r="I24" s="35" t="n">
        <x:f>100*SUMIFS('Bank assets'!$F$8:$F$77,'Bank assets'!$A$8:$A$77,$A24,'Bank assets'!$B$8:$B$77,$B24)/$C24</x:f>
        <x:v>4.33286951144094</x:v>
      </x:c>
      <x:c r="J24" s="35" t="n">
        <x:f>100*SUMIFS('Bank funding'!$F$8:$F$77,'Bank funding'!$A$8:$A$77,$A24,'Bank funding'!$B$8:$B$77,$B24)/$C24</x:f>
        <x:v>48.4887136672851</x:v>
      </x:c>
      <x:c r="K24" s="35" t="n">
        <x:f>100*SUMIFS('Bank funding'!$G$8:$G$77,'Bank funding'!$A$8:$A$77,$A24,'Bank funding'!$B$8:$B$77,$B24)/$C24</x:f>
        <x:v>36.71536796536797</x:v>
      </x:c>
      <x:c r="L24" s="35" t="n">
        <x:f>100*SUMIFS('Bank income'!$C$8:$C$77,'Bank income'!$A$8:$A$77,$A24,'Bank income'!$B$8:$B$77,$B24)/$C24</x:f>
        <x:v>1.557668521954236</x:v>
      </x:c>
      <x:c r="M24" s="35" t="n">
        <x:f>100*SUMIFS('Bank income'!$D$8:$D$77,'Bank income'!$A$8:$A$77,$A24,'Bank income'!$B$8:$B$77,$B24)/$C24</x:f>
        <x:v>0.916048237476809</x:v>
      </x:c>
      <x:c r="N24" s="2"/>
    </x:row>
    <x:row r="25" ht="22" customHeight="1">
      <x:c r="A25" s="31" t="str">
        <x:v>union</x:v>
      </x:c>
      <x:c r="B25" s="22" t="n">
        <x:v>1935</x:v>
      </x:c>
      <x:c r="C25" s="32" t="n">
        <x:f>SUMIFS('Bank assets'!$C$8:$C$77,'Bank assets'!$A$8:$A$77,$A25,'Bank assets'!$B$8:$B$77,$B25)</x:f>
        <x:v>2736.8</x:v>
      </x:c>
      <x:c r="D25" s="32" t="n">
        <x:f>SUMIFS('Bank funding'!$C$8:$C$77,'Bank funding'!$A$8:$A$77,$A25,'Bank funding'!$B$8:$B$77,$B25)+SUMIFS('Bank funding'!$D$8:$D$77,'Bank funding'!$A$8:$A$77,$A25,'Bank funding'!$B$8:$B$77,$B25)</x:f>
        <x:v>225</x:v>
      </x:c>
      <x:c r="E25" s="32" t="n">
        <x:f>SUMIFS('Bank assets'!$H$8:$H$77,'Bank assets'!$A$8:$A$77,$A25,'Bank assets'!$B$8:$B$77,$B25)+SUMIFS('Bank assets'!$E$8:$E$77,'Bank assets'!$A$8:$A$77,$A25,'Bank assets'!$B$8:$B$77,$B25)</x:f>
        <x:v>1994.3</x:v>
      </x:c>
      <x:c r="F25" s="36" t="n">
        <x:f>100*$D25/$C25</x:f>
        <x:v>8.221280327389652</x:v>
      </x:c>
      <x:c r="G25" s="36" t="n">
        <x:f>100*$E25/$C25</x:f>
        <x:v>72.86977491961414</x:v>
      </x:c>
      <x:c r="H25" s="36" t="n">
        <x:f>100*SUMIFS('Bank assets'!$D$8:$D$77,'Bank assets'!$A$8:$A$77,$A25,'Bank assets'!$B$8:$B$77,$B25)/$C25</x:f>
        <x:v>13.59251680795089</x:v>
      </x:c>
      <x:c r="I25" s="36" t="n">
        <x:f>100*SUMIFS('Bank assets'!$F$8:$F$77,'Bank assets'!$A$8:$A$77,$A25,'Bank assets'!$B$8:$B$77,$B25)/$C25</x:f>
        <x:v>5.605086232095878</x:v>
      </x:c>
      <x:c r="J25" s="36" t="n">
        <x:f>100*SUMIFS('Bank funding'!$F$8:$F$77,'Bank funding'!$A$8:$A$77,$A25,'Bank funding'!$B$8:$B$77,$B25)/$C25</x:f>
        <x:v>47.46053785442853</x:v>
      </x:c>
      <x:c r="K25" s="36" t="n">
        <x:f>100*SUMIFS('Bank funding'!$G$8:$G$77,'Bank funding'!$A$8:$A$77,$A25,'Bank funding'!$B$8:$B$77,$B25)/$C25</x:f>
        <x:v>40.45235311312481</x:v>
      </x:c>
      <x:c r="L25" s="36" t="n">
        <x:f>100*SUMIFS('Bank income'!$C$8:$C$77,'Bank income'!$A$8:$A$77,$A25,'Bank income'!$B$8:$B$77,$B25)/$C25</x:f>
        <x:v>1.3702133878982752</x:v>
      </x:c>
      <x:c r="M25" s="36" t="n">
        <x:f>100*SUMIFS('Bank income'!$D$8:$D$77,'Bank income'!$A$8:$A$77,$A25,'Bank income'!$B$8:$B$77,$B25)/$C25</x:f>
        <x:v>0.9134755919321835</x:v>
      </x:c>
      <x:c r="N25" s="2"/>
    </x:row>
    <x:row r="26" ht="22" customHeight="1">
      <x:c r="A26" s="29" t="str">
        <x:v>union</x:v>
      </x:c>
      <x:c r="B26" s="19" t="n">
        <x:v>1936</x:v>
      </x:c>
      <x:c r="C26" s="30" t="n">
        <x:f>SUMIFS('Bank assets'!$C$8:$C$77,'Bank assets'!$A$8:$A$77,$A26,'Bank assets'!$B$8:$B$77,$B26)</x:f>
        <x:v>2728.6</x:v>
      </x:c>
      <x:c r="D26" s="30" t="n">
        <x:f>SUMIFS('Bank funding'!$C$8:$C$77,'Bank funding'!$A$8:$A$77,$A26,'Bank funding'!$B$8:$B$77,$B26)+SUMIFS('Bank funding'!$D$8:$D$77,'Bank funding'!$A$8:$A$77,$A26,'Bank funding'!$B$8:$B$77,$B26)</x:f>
        <x:v>225</x:v>
      </x:c>
      <x:c r="E26" s="30" t="n">
        <x:f>SUMIFS('Bank assets'!$H$8:$H$77,'Bank assets'!$A$8:$A$77,$A26,'Bank assets'!$B$8:$B$77,$B26)+SUMIFS('Bank assets'!$E$8:$E$77,'Bank assets'!$A$8:$A$77,$A26,'Bank assets'!$B$8:$B$77,$B26)</x:f>
        <x:v>1919.5</x:v>
      </x:c>
      <x:c r="F26" s="35" t="n">
        <x:f>100*$D26/$C26</x:f>
        <x:v>8.2459869530162</x:v>
      </x:c>
      <x:c r="G26" s="35" t="n">
        <x:f>100*$E26/$C26</x:f>
        <x:v>70.34743091695375</x:v>
      </x:c>
      <x:c r="H26" s="35" t="n">
        <x:f>100*SUMIFS('Bank assets'!$D$8:$D$77,'Bank assets'!$A$8:$A$77,$A26,'Bank assets'!$B$8:$B$77,$B26)/$C26</x:f>
        <x:v>12.35798578025361</x:v>
      </x:c>
      <x:c r="I26" s="35" t="n">
        <x:f>100*SUMIFS('Bank assets'!$F$8:$F$77,'Bank assets'!$A$8:$A$77,$A26,'Bank assets'!$B$8:$B$77,$B26)/$C26</x:f>
        <x:v>7.494685919519168</x:v>
      </x:c>
      <x:c r="J26" s="35" t="n">
        <x:f>100*SUMIFS('Bank funding'!$F$8:$F$77,'Bank funding'!$A$8:$A$77,$A26,'Bank funding'!$B$8:$B$77,$B26)/$C26</x:f>
        <x:v>48.1565638056146</x:v>
      </x:c>
      <x:c r="K26" s="35" t="n">
        <x:f>100*SUMIFS('Bank funding'!$G$8:$G$77,'Bank funding'!$A$8:$A$77,$A26,'Bank funding'!$B$8:$B$77,$B26)/$C26</x:f>
        <x:v>38.609543355566956</x:v>
      </x:c>
      <x:c r="L26" s="35" t="n">
        <x:f>100*SUMIFS('Bank income'!$C$8:$C$77,'Bank income'!$A$8:$A$77,$A26,'Bank income'!$B$8:$B$77,$B26)/$C26</x:f>
        <x:v>1.425639522099245</x:v>
      </x:c>
      <x:c r="M26" s="35" t="n">
        <x:f>100*SUMIFS('Bank income'!$D$8:$D$77,'Bank income'!$A$8:$A$77,$A26,'Bank income'!$B$8:$B$77,$B26)/$C26</x:f>
        <x:v>0.9198856556475848</x:v>
      </x:c>
      <x:c r="N26" s="2"/>
    </x:row>
    <x:row r="27" ht="22" customHeight="1">
      <x:c r="A27" s="31" t="str">
        <x:v>union</x:v>
      </x:c>
      <x:c r="B27" s="22" t="n">
        <x:v>1937</x:v>
      </x:c>
      <x:c r="C27" s="32" t="n">
        <x:f>SUMIFS('Bank assets'!$C$8:$C$77,'Bank assets'!$A$8:$A$77,$A27,'Bank assets'!$B$8:$B$77,$B27)</x:f>
        <x:v>2977.8</x:v>
      </x:c>
      <x:c r="D27" s="32" t="n">
        <x:f>SUMIFS('Bank funding'!$C$8:$C$77,'Bank funding'!$A$8:$A$77,$A27,'Bank funding'!$B$8:$B$77,$B27)+SUMIFS('Bank funding'!$D$8:$D$77,'Bank funding'!$A$8:$A$77,$A27,'Bank funding'!$B$8:$B$77,$B27)</x:f>
        <x:v>225</x:v>
      </x:c>
      <x:c r="E27" s="32" t="n">
        <x:f>SUMIFS('Bank assets'!$H$8:$H$77,'Bank assets'!$A$8:$A$77,$A27,'Bank assets'!$B$8:$B$77,$B27)+SUMIFS('Bank assets'!$E$8:$E$77,'Bank assets'!$A$8:$A$77,$A27,'Bank assets'!$B$8:$B$77,$B27)</x:f>
        <x:v>2120.7</x:v>
      </x:c>
      <x:c r="F27" s="36" t="n">
        <x:f>100*$D27/$C27</x:f>
        <x:v>7.555913761837598</x:v>
      </x:c>
      <x:c r="G27" s="36" t="n">
        <x:f>100*$E27/$C27</x:f>
        <x:v>71.21700584323996</x:v>
      </x:c>
      <x:c r="H27" s="36" t="n">
        <x:f>100*SUMIFS('Bank assets'!$D$8:$D$77,'Bank assets'!$A$8:$A$77,$A27,'Bank assets'!$B$8:$B$77,$B27)/$C27</x:f>
        <x:v>12.798038820605816</x:v>
      </x:c>
      <x:c r="I27" s="36" t="n">
        <x:f>100*SUMIFS('Bank assets'!$F$8:$F$77,'Bank assets'!$A$8:$A$77,$A27,'Bank assets'!$B$8:$B$77,$B27)/$C27</x:f>
        <x:v>7.965612196923903</x:v>
      </x:c>
      <x:c r="J27" s="36" t="n">
        <x:f>100*SUMIFS('Bank funding'!$F$8:$F$77,'Bank funding'!$A$8:$A$77,$A27,'Bank funding'!$B$8:$B$77,$B27)/$C27</x:f>
        <x:v>45.281751628719185</x:v>
      </x:c>
      <x:c r="K27" s="36" t="n">
        <x:f>100*SUMIFS('Bank funding'!$G$8:$G$77,'Bank funding'!$A$8:$A$77,$A27,'Bank funding'!$B$8:$B$77,$B27)/$C27</x:f>
        <x:v>42.460877157633156</x:v>
      </x:c>
      <x:c r="L27" s="36" t="n">
        <x:f>100*SUMIFS('Bank income'!$C$8:$C$77,'Bank income'!$A$8:$A$77,$A27,'Bank income'!$B$8:$B$77,$B27)/$C27</x:f>
        <x:v>1.5078245684733695</x:v>
      </x:c>
      <x:c r="M27" s="36" t="n">
        <x:f>100*SUMIFS('Bank income'!$D$8:$D$77,'Bank income'!$A$8:$A$77,$A27,'Bank income'!$B$8:$B$77,$B27)/$C27</x:f>
        <x:v>0.9772315131976627</x:v>
      </x:c>
      <x:c r="N27" s="2"/>
    </x:row>
    <x:row r="28" ht="22" customHeight="1">
      <x:c r="A28" s="29" t="str">
        <x:v>escomp</x:v>
      </x:c>
      <x:c r="B28" s="19" t="n">
        <x:v>1933</x:v>
      </x:c>
      <x:c r="C28" s="30" t="n">
        <x:f>SUMIFS('Bank assets'!$C$8:$C$77,'Bank assets'!$A$8:$A$77,$A28,'Bank assets'!$B$8:$B$77,$B28)</x:f>
        <x:v>2404.5</x:v>
      </x:c>
      <x:c r="D28" s="30" t="n">
        <x:f>SUMIFS('Bank funding'!$C$8:$C$77,'Bank funding'!$A$8:$A$77,$A28,'Bank funding'!$B$8:$B$77,$B28)+SUMIFS('Bank funding'!$D$8:$D$77,'Bank funding'!$A$8:$A$77,$A28,'Bank funding'!$B$8:$B$77,$B28)</x:f>
        <x:v>284.7</x:v>
      </x:c>
      <x:c r="E28" s="30" t="n">
        <x:f>SUMIFS('Bank assets'!$H$8:$H$77,'Bank assets'!$A$8:$A$77,$A28,'Bank assets'!$B$8:$B$77,$B28)+SUMIFS('Bank assets'!$E$8:$E$77,'Bank assets'!$A$8:$A$77,$A28,'Bank assets'!$B$8:$B$77,$B28)</x:f>
        <x:v>1720.4</x:v>
      </x:c>
      <x:c r="F28" s="35" t="n">
        <x:f>100*$D28/$C28</x:f>
        <x:v>11.840299438552714</x:v>
      </x:c>
      <x:c r="G28" s="35" t="n">
        <x:f>100*$E28/$C28</x:f>
        <x:v>71.54917862341443</x:v>
      </x:c>
      <x:c r="H28" s="35" t="n">
        <x:f>100*SUMIFS('Bank assets'!$D$8:$D$77,'Bank assets'!$A$8:$A$77,$A28,'Bank assets'!$B$8:$B$77,$B28)/$C28</x:f>
        <x:v>9.58203368683718</x:v>
      </x:c>
      <x:c r="I28" s="35" t="n">
        <x:f>100*SUMIFS('Bank assets'!$F$8:$F$77,'Bank assets'!$A$8:$A$77,$A28,'Bank assets'!$B$8:$B$77,$B28)/$C28</x:f>
        <x:v>5.918070284882512</x:v>
      </x:c>
      <x:c r="J28" s="35" t="n">
        <x:f>100*SUMIFS('Bank funding'!$F$8:$F$77,'Bank funding'!$A$8:$A$77,$A28,'Bank funding'!$B$8:$B$77,$B28)/$C28</x:f>
        <x:v>39.92098149303389</x:v>
      </x:c>
      <x:c r="K28" s="35" t="n">
        <x:f>100*SUMIFS('Bank funding'!$G$8:$G$77,'Bank funding'!$A$8:$A$77,$A28,'Bank funding'!$B$8:$B$77,$B28)/$C28</x:f>
        <x:v>42.370555208983156</x:v>
      </x:c>
      <x:c r="L28" s="35" t="n">
        <x:f>100*SUMIFS('Bank income'!$C$8:$C$77,'Bank income'!$A$8:$A$77,$A28,'Bank income'!$B$8:$B$77,$B28)/$C28</x:f>
        <x:v>2.029527968392597</x:v>
      </x:c>
      <x:c r="M28" s="35" t="n">
        <x:f>100*SUMIFS('Bank income'!$D$8:$D$77,'Bank income'!$A$8:$A$77,$A28,'Bank income'!$B$8:$B$77,$B28)/$C28</x:f>
        <x:v>0.7070076939072573</x:v>
      </x:c>
      <x:c r="N28" s="2"/>
    </x:row>
    <x:row r="29" ht="22" customHeight="1">
      <x:c r="A29" s="31" t="str">
        <x:v>escomp</x:v>
      </x:c>
      <x:c r="B29" s="22" t="n">
        <x:v>1934</x:v>
      </x:c>
      <x:c r="C29" s="32" t="n">
        <x:f>SUMIFS('Bank assets'!$C$8:$C$77,'Bank assets'!$A$8:$A$77,$A29,'Bank assets'!$B$8:$B$77,$B29)</x:f>
        <x:v>2449.9</x:v>
      </x:c>
      <x:c r="D29" s="32" t="n">
        <x:f>SUMIFS('Bank funding'!$C$8:$C$77,'Bank funding'!$A$8:$A$77,$A29,'Bank funding'!$B$8:$B$77,$B29)+SUMIFS('Bank funding'!$D$8:$D$77,'Bank funding'!$A$8:$A$77,$A29,'Bank funding'!$B$8:$B$77,$B29)</x:f>
        <x:v>285.2</x:v>
      </x:c>
      <x:c r="E29" s="32" t="n">
        <x:f>SUMIFS('Bank assets'!$H$8:$H$77,'Bank assets'!$A$8:$A$77,$A29,'Bank assets'!$B$8:$B$77,$B29)+SUMIFS('Bank assets'!$E$8:$E$77,'Bank assets'!$A$8:$A$77,$A29,'Bank assets'!$B$8:$B$77,$B29)</x:f>
        <x:v>1793.2</x:v>
      </x:c>
      <x:c r="F29" s="36" t="n">
        <x:f>100*$D29/$C29</x:f>
        <x:v>11.64129148128495</x:v>
      </x:c>
      <x:c r="G29" s="36" t="n">
        <x:f>100*$E29/$C29</x:f>
        <x:v>73.19482427854197</x:v>
      </x:c>
      <x:c r="H29" s="36" t="n">
        <x:f>100*SUMIFS('Bank assets'!$D$8:$D$77,'Bank assets'!$A$8:$A$77,$A29,'Bank assets'!$B$8:$B$77,$B29)/$C29</x:f>
        <x:v>8.963631168619127</x:v>
      </x:c>
      <x:c r="I29" s="36" t="n">
        <x:f>100*SUMIFS('Bank assets'!$F$8:$F$77,'Bank assets'!$A$8:$A$77,$A29,'Bank assets'!$B$8:$B$77,$B29)/$C29</x:f>
        <x:v>4.6695783501367405</x:v>
      </x:c>
      <x:c r="J29" s="36" t="n">
        <x:f>100*SUMIFS('Bank funding'!$F$8:$F$77,'Bank funding'!$A$8:$A$77,$A29,'Bank funding'!$B$8:$B$77,$B29)/$C29</x:f>
        <x:v>39.57712559696314</x:v>
      </x:c>
      <x:c r="K29" s="36" t="n">
        <x:f>100*SUMIFS('Bank funding'!$G$8:$G$77,'Bank funding'!$A$8:$A$77,$A29,'Bank funding'!$B$8:$B$77,$B29)/$C29</x:f>
        <x:v>43.193599738764846</x:v>
      </x:c>
      <x:c r="L29" s="36" t="n">
        <x:f>100*SUMIFS('Bank income'!$C$8:$C$77,'Bank income'!$A$8:$A$77,$A29,'Bank income'!$B$8:$B$77,$B29)/$C29</x:f>
        <x:v>1.693946691701702</x:v>
      </x:c>
      <x:c r="M29" s="36" t="n">
        <x:f>100*SUMIFS('Bank income'!$D$8:$D$77,'Bank income'!$A$8:$A$77,$A29,'Bank income'!$B$8:$B$77,$B29)/$C29</x:f>
        <x:v>0.6694150781664556</x:v>
      </x:c>
      <x:c r="N29" s="2"/>
    </x:row>
    <x:row r="30" ht="22" customHeight="1">
      <x:c r="A30" s="29" t="str">
        <x:v>escomp</x:v>
      </x:c>
      <x:c r="B30" s="19" t="n">
        <x:v>1935</x:v>
      </x:c>
      <x:c r="C30" s="30" t="n">
        <x:f>SUMIFS('Bank assets'!$C$8:$C$77,'Bank assets'!$A$8:$A$77,$A30,'Bank assets'!$B$8:$B$77,$B30)</x:f>
        <x:v>2350.5</x:v>
      </x:c>
      <x:c r="D30" s="30" t="n">
        <x:f>SUMIFS('Bank funding'!$C$8:$C$77,'Bank funding'!$A$8:$A$77,$A30,'Bank funding'!$B$8:$B$77,$B30)+SUMIFS('Bank funding'!$D$8:$D$77,'Bank funding'!$A$8:$A$77,$A30,'Bank funding'!$B$8:$B$77,$B30)</x:f>
        <x:v>197.9</x:v>
      </x:c>
      <x:c r="E30" s="30" t="n">
        <x:f>SUMIFS('Bank assets'!$H$8:$H$77,'Bank assets'!$A$8:$A$77,$A30,'Bank assets'!$B$8:$B$77,$B30)+SUMIFS('Bank assets'!$E$8:$E$77,'Bank assets'!$A$8:$A$77,$A30,'Bank assets'!$B$8:$B$77,$B30)</x:f>
        <x:v>1687.1</x:v>
      </x:c>
      <x:c r="F30" s="35" t="n">
        <x:f>100*$D30/$C30</x:f>
        <x:v>8.419485215911509</x:v>
      </x:c>
      <x:c r="G30" s="35" t="n">
        <x:f>100*$E30/$C30</x:f>
        <x:v>71.77621782599446</x:v>
      </x:c>
      <x:c r="H30" s="35" t="n">
        <x:f>100*SUMIFS('Bank assets'!$D$8:$D$77,'Bank assets'!$A$8:$A$77,$A30,'Bank assets'!$B$8:$B$77,$B30)/$C30</x:f>
        <x:v>11.027440970006381</x:v>
      </x:c>
      <x:c r="I30" s="35" t="n">
        <x:f>100*SUMIFS('Bank assets'!$F$8:$F$77,'Bank assets'!$A$8:$A$77,$A30,'Bank assets'!$B$8:$B$77,$B30)/$C30</x:f>
        <x:v>4.2884492661135925</x:v>
      </x:c>
      <x:c r="J30" s="35" t="n">
        <x:f>100*SUMIFS('Bank funding'!$F$8:$F$77,'Bank funding'!$A$8:$A$77,$A30,'Bank funding'!$B$8:$B$77,$B30)/$C30</x:f>
        <x:v>41.093384386300784</x:v>
      </x:c>
      <x:c r="K30" s="35" t="n">
        <x:f>100*SUMIFS('Bank funding'!$G$8:$G$77,'Bank funding'!$A$8:$A$77,$A30,'Bank funding'!$B$8:$B$77,$B30)/$C30</x:f>
        <x:v>44.71389066156137</x:v>
      </x:c>
      <x:c r="L30" s="35" t="n">
        <x:f>100*SUMIFS('Bank income'!$C$8:$C$77,'Bank income'!$A$8:$A$77,$A30,'Bank income'!$B$8:$B$77,$B30)/$C30</x:f>
        <x:v>1.3826845352052755</x:v>
      </x:c>
      <x:c r="M30" s="35" t="n">
        <x:f>100*SUMIFS('Bank income'!$D$8:$D$77,'Bank income'!$A$8:$A$77,$A30,'Bank income'!$B$8:$B$77,$B30)/$C30</x:f>
        <x:v>0.6849606466709212</x:v>
      </x:c>
      <x:c r="N30" s="2"/>
    </x:row>
    <x:row r="31" ht="22" customHeight="1">
      <x:c r="A31" s="31" t="str">
        <x:v>escomp</x:v>
      </x:c>
      <x:c r="B31" s="22" t="n">
        <x:v>1936</x:v>
      </x:c>
      <x:c r="C31" s="32" t="n">
        <x:f>SUMIFS('Bank assets'!$C$8:$C$77,'Bank assets'!$A$8:$A$77,$A31,'Bank assets'!$B$8:$B$77,$B31)</x:f>
        <x:v>2494.5</x:v>
      </x:c>
      <x:c r="D31" s="32" t="n">
        <x:f>SUMIFS('Bank funding'!$C$8:$C$77,'Bank funding'!$A$8:$A$77,$A31,'Bank funding'!$B$8:$B$77,$B31)+SUMIFS('Bank funding'!$D$8:$D$77,'Bank funding'!$A$8:$A$77,$A31,'Bank funding'!$B$8:$B$77,$B31)</x:f>
        <x:v>198.3</x:v>
      </x:c>
      <x:c r="E31" s="32" t="n">
        <x:f>SUMIFS('Bank assets'!$H$8:$H$77,'Bank assets'!$A$8:$A$77,$A31,'Bank assets'!$B$8:$B$77,$B31)+SUMIFS('Bank assets'!$E$8:$E$77,'Bank assets'!$A$8:$A$77,$A31,'Bank assets'!$B$8:$B$77,$B31)</x:f>
        <x:v>1722.9</x:v>
      </x:c>
      <x:c r="F31" s="36" t="n">
        <x:f>100*$D31/$C31</x:f>
        <x:v>7.949488875526158</x:v>
      </x:c>
      <x:c r="G31" s="36" t="n">
        <x:f>100*$E31/$C31</x:f>
        <x:v>69.06794948887553</x:v>
      </x:c>
      <x:c r="H31" s="36" t="n">
        <x:f>100*SUMIFS('Bank assets'!$D$8:$D$77,'Bank assets'!$A$8:$A$77,$A31,'Bank assets'!$B$8:$B$77,$B31)/$C31</x:f>
        <x:v>9.637201844056925</x:v>
      </x:c>
      <x:c r="I31" s="36" t="n">
        <x:f>100*SUMIFS('Bank assets'!$F$8:$F$77,'Bank assets'!$A$8:$A$77,$A31,'Bank assets'!$B$8:$B$77,$B31)/$C31</x:f>
        <x:v>6.4301463219081985</x:v>
      </x:c>
      <x:c r="J31" s="36" t="n">
        <x:f>100*SUMIFS('Bank funding'!$F$8:$F$77,'Bank funding'!$A$8:$A$77,$A31,'Bank funding'!$B$8:$B$77,$B31)/$C31</x:f>
        <x:v>38.817398276207655</x:v>
      </x:c>
      <x:c r="K31" s="36" t="n">
        <x:f>100*SUMIFS('Bank funding'!$G$8:$G$77,'Bank funding'!$A$8:$A$77,$A31,'Bank funding'!$B$8:$B$77,$B31)/$C31</x:f>
        <x:v>47.111645620364804</x:v>
      </x:c>
      <x:c r="L31" s="36" t="n">
        <x:f>100*SUMIFS('Bank income'!$C$8:$C$77,'Bank income'!$A$8:$A$77,$A31,'Bank income'!$B$8:$B$77,$B31)/$C31</x:f>
        <x:v>1.230707556624574</x:v>
      </x:c>
      <x:c r="M31" s="36" t="n">
        <x:f>100*SUMIFS('Bank income'!$D$8:$D$77,'Bank income'!$A$8:$A$77,$A31,'Bank income'!$B$8:$B$77,$B31)/$C31</x:f>
        <x:v>0.5892964521948286</x:v>
      </x:c>
      <x:c r="N31" s="2"/>
    </x:row>
    <x:row r="32" ht="22" customHeight="1">
      <x:c r="A32" s="29" t="str">
        <x:v>escomp</x:v>
      </x:c>
      <x:c r="B32" s="19" t="n">
        <x:v>1937</x:v>
      </x:c>
      <x:c r="C32" s="30" t="n">
        <x:f>SUMIFS('Bank assets'!$C$8:$C$77,'Bank assets'!$A$8:$A$77,$A32,'Bank assets'!$B$8:$B$77,$B32)</x:f>
        <x:v>2633.3</x:v>
      </x:c>
      <x:c r="D32" s="30" t="n">
        <x:f>SUMIFS('Bank funding'!$C$8:$C$77,'Bank funding'!$A$8:$A$77,$A32,'Bank funding'!$B$8:$B$77,$B32)+SUMIFS('Bank funding'!$D$8:$D$77,'Bank funding'!$A$8:$A$77,$A32,'Bank funding'!$B$8:$B$77,$B32)</x:f>
        <x:v>198.6</x:v>
      </x:c>
      <x:c r="E32" s="30" t="n">
        <x:f>SUMIFS('Bank assets'!$H$8:$H$77,'Bank assets'!$A$8:$A$77,$A32,'Bank assets'!$B$8:$B$77,$B32)+SUMIFS('Bank assets'!$E$8:$E$77,'Bank assets'!$A$8:$A$77,$A32,'Bank assets'!$B$8:$B$77,$B32)</x:f>
        <x:v>1828.3999999999999</x:v>
      </x:c>
      <x:c r="F32" s="35" t="n">
        <x:f>100*$D32/$C32</x:f>
        <x:v>7.54186761857745</x:v>
      </x:c>
      <x:c r="G32" s="35" t="n">
        <x:f>100*$E32/$C32</x:f>
        <x:v>69.43379030114305</x:v>
      </x:c>
      <x:c r="H32" s="35" t="n">
        <x:f>100*SUMIFS('Bank assets'!$D$8:$D$77,'Bank assets'!$A$8:$A$77,$A32,'Bank assets'!$B$8:$B$77,$B32)/$C32</x:f>
        <x:v>8.510234306763376</x:v>
      </x:c>
      <x:c r="I32" s="35" t="n">
        <x:f>100*SUMIFS('Bank assets'!$F$8:$F$77,'Bank assets'!$A$8:$A$77,$A32,'Bank assets'!$B$8:$B$77,$B32)/$C32</x:f>
        <x:v>8.073519917973645</x:v>
      </x:c>
      <x:c r="J32" s="35" t="n">
        <x:f>100*SUMIFS('Bank funding'!$F$8:$F$77,'Bank funding'!$A$8:$A$77,$A32,'Bank funding'!$B$8:$B$77,$B32)/$C32</x:f>
        <x:v>37.7321231914328</x:v>
      </x:c>
      <x:c r="K32" s="35" t="n">
        <x:f>100*SUMIFS('Bank funding'!$G$8:$G$77,'Bank funding'!$A$8:$A$77,$A32,'Bank funding'!$B$8:$B$77,$B32)/$C32</x:f>
        <x:v>49.54999430372536</x:v>
      </x:c>
      <x:c r="L32" s="35" t="n">
        <x:f>100*SUMIFS('Bank income'!$C$8:$C$77,'Bank income'!$A$8:$A$77,$A32,'Bank income'!$B$8:$B$77,$B32)/$C32</x:f>
        <x:v>1.5152090532791553</x:v>
      </x:c>
      <x:c r="M32" s="35" t="n">
        <x:f>100*SUMIFS('Bank income'!$D$8:$D$77,'Bank income'!$A$8:$A$77,$A32,'Bank income'!$B$8:$B$77,$B32)/$C32</x:f>
        <x:v>0.7633008012759656</x:v>
      </x:c>
      <x:c r="N32" s="2"/>
    </x:row>
    <x:row r="33" ht="22" customHeight="1">
      <x:c r="A33" s="31" t="str">
        <x:v>prumyslova</x:v>
      </x:c>
      <x:c r="B33" s="22" t="n">
        <x:v>1933</x:v>
      </x:c>
      <x:c r="C33" s="32" t="n">
        <x:f>SUMIFS('Bank assets'!$C$8:$C$77,'Bank assets'!$A$8:$A$77,$A33,'Bank assets'!$B$8:$B$77,$B33)</x:f>
        <x:v>1695.5</x:v>
      </x:c>
      <x:c r="D33" s="32" t="n">
        <x:f>SUMIFS('Bank funding'!$C$8:$C$77,'Bank funding'!$A$8:$A$77,$A33,'Bank funding'!$B$8:$B$77,$B33)+SUMIFS('Bank funding'!$D$8:$D$77,'Bank funding'!$A$8:$A$77,$A33,'Bank funding'!$B$8:$B$77,$B33)</x:f>
        <x:v>115.39999999999999</x:v>
      </x:c>
      <x:c r="E33" s="32" t="n">
        <x:f>SUMIFS('Bank assets'!$H$8:$H$77,'Bank assets'!$A$8:$A$77,$A33,'Bank assets'!$B$8:$B$77,$B33)+SUMIFS('Bank assets'!$E$8:$E$77,'Bank assets'!$A$8:$A$77,$A33,'Bank assets'!$B$8:$B$77,$B33)</x:f>
        <x:v>1086.1999999999998</x:v>
      </x:c>
      <x:c r="F33" s="36" t="n">
        <x:f>100*$D33/$C33</x:f>
        <x:v>6.806251843114126</x:v>
      </x:c>
      <x:c r="G33" s="36" t="n">
        <x:f>100*$E33/$C33</x:f>
        <x:v>64.06369802418165</x:v>
      </x:c>
      <x:c r="H33" s="36" t="n">
        <x:f>100*SUMIFS('Bank assets'!$D$8:$D$77,'Bank assets'!$A$8:$A$77,$A33,'Bank assets'!$B$8:$B$77,$B33)/$C33</x:f>
        <x:v>4.7006782659982305</x:v>
      </x:c>
      <x:c r="I33" s="36" t="n">
        <x:f>100*SUMIFS('Bank assets'!$F$8:$F$77,'Bank assets'!$A$8:$A$77,$A33,'Bank assets'!$B$8:$B$77,$B33)/$C33</x:f>
        <x:v>18.920672368033028</x:v>
      </x:c>
      <x:c r="J33" s="36" t="n">
        <x:f>100*SUMIFS('Bank funding'!$F$8:$F$77,'Bank funding'!$A$8:$A$77,$A33,'Bank funding'!$B$8:$B$77,$B33)/$C33</x:f>
        <x:v>37.24565025066352</x:v>
      </x:c>
      <x:c r="K33" s="36" t="n">
        <x:f>100*SUMIFS('Bank funding'!$G$8:$G$77,'Bank funding'!$A$8:$A$77,$A33,'Bank funding'!$B$8:$B$77,$B33)/$C33</x:f>
        <x:v>51.53052196992038</x:v>
      </x:c>
      <x:c r="L33" s="36" t="n">
        <x:f>100*SUMIFS('Bank income'!$C$8:$C$77,'Bank income'!$A$8:$A$77,$A33,'Bank income'!$B$8:$B$77,$B33)/$C33</x:f>
        <x:v>0.8728988498967856</x:v>
      </x:c>
      <x:c r="M33" s="36" t="n">
        <x:f>100*SUMIFS('Bank income'!$D$8:$D$77,'Bank income'!$A$8:$A$77,$A33,'Bank income'!$B$8:$B$77,$B33)/$C33</x:f>
        <x:v>1.008552049542908</x:v>
      </x:c>
      <x:c r="N33" s="2"/>
    </x:row>
    <x:row r="34" ht="22" customHeight="1">
      <x:c r="A34" s="29" t="str">
        <x:v>prumyslova</x:v>
      </x:c>
      <x:c r="B34" s="19" t="n">
        <x:v>1934</x:v>
      </x:c>
      <x:c r="C34" s="30" t="n">
        <x:f>SUMIFS('Bank assets'!$C$8:$C$77,'Bank assets'!$A$8:$A$77,$A34,'Bank assets'!$B$8:$B$77,$B34)</x:f>
        <x:v>1646.6</x:v>
      </x:c>
      <x:c r="D34" s="30" t="n">
        <x:f>SUMIFS('Bank funding'!$C$8:$C$77,'Bank funding'!$A$8:$A$77,$A34,'Bank funding'!$B$8:$B$77,$B34)+SUMIFS('Bank funding'!$D$8:$D$77,'Bank funding'!$A$8:$A$77,$A34,'Bank funding'!$B$8:$B$77,$B34)</x:f>
        <x:v>115.5</x:v>
      </x:c>
      <x:c r="E34" s="30" t="n">
        <x:f>SUMIFS('Bank assets'!$H$8:$H$77,'Bank assets'!$A$8:$A$77,$A34,'Bank assets'!$B$8:$B$77,$B34)+SUMIFS('Bank assets'!$E$8:$E$77,'Bank assets'!$A$8:$A$77,$A34,'Bank assets'!$B$8:$B$77,$B34)</x:f>
        <x:v>1037</x:v>
      </x:c>
      <x:c r="F34" s="35" t="n">
        <x:f>100*$D34/$C34</x:f>
        <x:v>7.014454026478806</x:v>
      </x:c>
      <x:c r="G34" s="35" t="n">
        <x:f>100*$E34/$C34</x:f>
        <x:v>62.9782582290781</x:v>
      </x:c>
      <x:c r="H34" s="35" t="n">
        <x:f>100*SUMIFS('Bank assets'!$D$8:$D$77,'Bank assets'!$A$8:$A$77,$A34,'Bank assets'!$B$8:$B$77,$B34)/$C34</x:f>
        <x:v>4.603425239888255</x:v>
      </x:c>
      <x:c r="I34" s="35" t="n">
        <x:f>100*SUMIFS('Bank assets'!$F$8:$F$77,'Bank assets'!$A$8:$A$77,$A34,'Bank assets'!$B$8:$B$77,$B34)/$C34</x:f>
        <x:v>19.239645329770436</x:v>
      </x:c>
      <x:c r="J34" s="35" t="n">
        <x:f>100*SUMIFS('Bank funding'!$F$8:$F$77,'Bank funding'!$A$8:$A$77,$A34,'Bank funding'!$B$8:$B$77,$B34)/$C34</x:f>
        <x:v>38.0177335114782</x:v>
      </x:c>
      <x:c r="K34" s="35" t="n">
        <x:f>100*SUMIFS('Bank funding'!$G$8:$G$77,'Bank funding'!$A$8:$A$77,$A34,'Bank funding'!$B$8:$B$77,$B34)/$C34</x:f>
        <x:v>50.37046034252399</x:v>
      </x:c>
      <x:c r="L34" s="35" t="n">
        <x:f>100*SUMIFS('Bank income'!$C$8:$C$77,'Bank income'!$A$8:$A$77,$A34,'Bank income'!$B$8:$B$77,$B34)/$C34</x:f>
        <x:v>0.8320174905866635</x:v>
      </x:c>
      <x:c r="M34" s="35" t="n">
        <x:f>100*SUMIFS('Bank income'!$D$8:$D$77,'Bank income'!$A$8:$A$77,$A34,'Bank income'!$B$8:$B$77,$B34)/$C34</x:f>
        <x:v>0.9959917405562977</x:v>
      </x:c>
      <x:c r="N34" s="2"/>
    </x:row>
    <x:row r="35" ht="22" customHeight="1">
      <x:c r="A35" s="31" t="str">
        <x:v>prumyslova</x:v>
      </x:c>
      <x:c r="B35" s="22" t="n">
        <x:v>1935</x:v>
      </x:c>
      <x:c r="C35" s="32" t="n">
        <x:f>SUMIFS('Bank assets'!$C$8:$C$77,'Bank assets'!$A$8:$A$77,$A35,'Bank assets'!$B$8:$B$77,$B35)</x:f>
        <x:v>1694.5</x:v>
      </x:c>
      <x:c r="D35" s="32" t="n">
        <x:f>SUMIFS('Bank funding'!$C$8:$C$77,'Bank funding'!$A$8:$A$77,$A35,'Bank funding'!$B$8:$B$77,$B35)+SUMIFS('Bank funding'!$D$8:$D$77,'Bank funding'!$A$8:$A$77,$A35,'Bank funding'!$B$8:$B$77,$B35)</x:f>
        <x:v>115.5</x:v>
      </x:c>
      <x:c r="E35" s="32" t="n">
        <x:f>SUMIFS('Bank assets'!$H$8:$H$77,'Bank assets'!$A$8:$A$77,$A35,'Bank assets'!$B$8:$B$77,$B35)+SUMIFS('Bank assets'!$E$8:$E$77,'Bank assets'!$A$8:$A$77,$A35,'Bank assets'!$B$8:$B$77,$B35)</x:f>
        <x:v>1064.6</x:v>
      </x:c>
      <x:c r="F35" s="36" t="n">
        <x:f>100*$D35/$C35</x:f>
        <x:v>6.816169961640602</x:v>
      </x:c>
      <x:c r="G35" s="36" t="n">
        <x:f>100*$E35/$C35</x:f>
        <x:v>62.82679256417821</x:v>
      </x:c>
      <x:c r="H35" s="36" t="n">
        <x:f>100*SUMIFS('Bank assets'!$D$8:$D$77,'Bank assets'!$A$8:$A$77,$A35,'Bank assets'!$B$8:$B$77,$B35)/$C35</x:f>
        <x:v>5.8424313956919445</x:v>
      </x:c>
      <x:c r="I35" s="36" t="n">
        <x:f>100*SUMIFS('Bank assets'!$F$8:$F$77,'Bank assets'!$A$8:$A$77,$A35,'Bank assets'!$B$8:$B$77,$B35)/$C35</x:f>
        <x:v>18.25317202714665</x:v>
      </x:c>
      <x:c r="J35" s="36" t="n">
        <x:f>100*SUMIFS('Bank funding'!$F$8:$F$77,'Bank funding'!$A$8:$A$77,$A35,'Bank funding'!$B$8:$B$77,$B35)/$C35</x:f>
        <x:v>39.46296842726468</x:v>
      </x:c>
      <x:c r="K35" s="36" t="n">
        <x:f>100*SUMIFS('Bank funding'!$G$8:$G$77,'Bank funding'!$A$8:$A$77,$A35,'Bank funding'!$B$8:$B$77,$B35)/$C35</x:f>
        <x:v>49.97344349365594</x:v>
      </x:c>
      <x:c r="L35" s="36" t="n">
        <x:f>100*SUMIFS('Bank income'!$C$8:$C$77,'Bank income'!$A$8:$A$77,$A35,'Bank income'!$B$8:$B$77,$B35)/$C35</x:f>
        <x:v>0.6668633815284745</x:v>
      </x:c>
      <x:c r="M35" s="36" t="n">
        <x:f>100*SUMIFS('Bank income'!$D$8:$D$77,'Bank income'!$A$8:$A$77,$A35,'Bank income'!$B$8:$B$77,$B35)/$C35</x:f>
        <x:v>0.9501327825317204</x:v>
      </x:c>
      <x:c r="N35" s="2"/>
    </x:row>
    <x:row r="36" ht="22" customHeight="1">
      <x:c r="A36" s="29" t="str">
        <x:v>prumyslova</x:v>
      </x:c>
      <x:c r="B36" s="19" t="n">
        <x:v>1936</x:v>
      </x:c>
      <x:c r="C36" s="30" t="n">
        <x:f>SUMIFS('Bank assets'!$C$8:$C$77,'Bank assets'!$A$8:$A$77,$A36,'Bank assets'!$B$8:$B$77,$B36)</x:f>
        <x:v>1725.4</x:v>
      </x:c>
      <x:c r="D36" s="30" t="n">
        <x:f>SUMIFS('Bank funding'!$C$8:$C$77,'Bank funding'!$A$8:$A$77,$A36,'Bank funding'!$B$8:$B$77,$B36)+SUMIFS('Bank funding'!$D$8:$D$77,'Bank funding'!$A$8:$A$77,$A36,'Bank funding'!$B$8:$B$77,$B36)</x:f>
        <x:v>115.69999999999999</x:v>
      </x:c>
      <x:c r="E36" s="30" t="n">
        <x:f>SUMIFS('Bank assets'!$H$8:$H$77,'Bank assets'!$A$8:$A$77,$A36,'Bank assets'!$B$8:$B$77,$B36)+SUMIFS('Bank assets'!$E$8:$E$77,'Bank assets'!$A$8:$A$77,$A36,'Bank assets'!$B$8:$B$77,$B36)</x:f>
        <x:v>1089.8</x:v>
      </x:c>
      <x:c r="F36" s="35" t="n">
        <x:f>100*$D36/$C36</x:f>
        <x:v>6.705691433870405</x:v>
      </x:c>
      <x:c r="G36" s="35" t="n">
        <x:f>100*$E36/$C36</x:f>
        <x:v>63.16216529500405</x:v>
      </x:c>
      <x:c r="H36" s="35" t="n">
        <x:f>100*SUMIFS('Bank assets'!$D$8:$D$77,'Bank assets'!$A$8:$A$77,$A36,'Bank assets'!$B$8:$B$77,$B36)/$C36</x:f>
        <x:v>6.126115683319809</x:v>
      </x:c>
      <x:c r="I36" s="35" t="n">
        <x:f>100*SUMIFS('Bank assets'!$F$8:$F$77,'Bank assets'!$A$8:$A$77,$A36,'Bank assets'!$B$8:$B$77,$B36)/$C36</x:f>
        <x:v>17.5727367566941</x:v>
      </x:c>
      <x:c r="J36" s="35" t="n">
        <x:f>100*SUMIFS('Bank funding'!$F$8:$F$77,'Bank funding'!$A$8:$A$77,$A36,'Bank funding'!$B$8:$B$77,$B36)/$C36</x:f>
        <x:v>40.21676133070592</x:v>
      </x:c>
      <x:c r="K36" s="35" t="n">
        <x:f>100*SUMIFS('Bank funding'!$G$8:$G$77,'Bank funding'!$A$8:$A$77,$A36,'Bank funding'!$B$8:$B$77,$B36)/$C36</x:f>
        <x:v>48.058421235655494</x:v>
      </x:c>
      <x:c r="L36" s="35" t="n">
        <x:f>100*SUMIFS('Bank income'!$C$8:$C$77,'Bank income'!$A$8:$A$77,$A36,'Bank income'!$B$8:$B$77,$B36)/$C36</x:f>
        <x:v>0.6491248406166685</x:v>
      </x:c>
      <x:c r="M36" s="35" t="n">
        <x:f>100*SUMIFS('Bank income'!$D$8:$D$77,'Bank income'!$A$8:$A$77,$A36,'Bank income'!$B$8:$B$77,$B36)/$C36</x:f>
        <x:v>0.8751593833314014</x:v>
      </x:c>
      <x:c r="N36" s="2"/>
    </x:row>
    <x:row r="37" ht="22" customHeight="1">
      <x:c r="A37" s="31" t="str">
        <x:v>prumyslova</x:v>
      </x:c>
      <x:c r="B37" s="22" t="n">
        <x:v>1937</x:v>
      </x:c>
      <x:c r="C37" s="32" t="n">
        <x:f>SUMIFS('Bank assets'!$C$8:$C$77,'Bank assets'!$A$8:$A$77,$A37,'Bank assets'!$B$8:$B$77,$B37)</x:f>
        <x:v>1723.8</x:v>
      </x:c>
      <x:c r="D37" s="32" t="n">
        <x:f>SUMIFS('Bank funding'!$C$8:$C$77,'Bank funding'!$A$8:$A$77,$A37,'Bank funding'!$B$8:$B$77,$B37)+SUMIFS('Bank funding'!$D$8:$D$77,'Bank funding'!$A$8:$A$77,$A37,'Bank funding'!$B$8:$B$77,$B37)</x:f>
        <x:v>115.69999999999999</x:v>
      </x:c>
      <x:c r="E37" s="32" t="n">
        <x:f>SUMIFS('Bank assets'!$H$8:$H$77,'Bank assets'!$A$8:$A$77,$A37,'Bank assets'!$B$8:$B$77,$B37)+SUMIFS('Bank assets'!$E$8:$E$77,'Bank assets'!$A$8:$A$77,$A37,'Bank assets'!$B$8:$B$77,$B37)</x:f>
        <x:v>1084</x:v>
      </x:c>
      <x:c r="F37" s="36" t="n">
        <x:f>100*$D37/$C37</x:f>
        <x:v>6.7119155354449465</x:v>
      </x:c>
      <x:c r="G37" s="36" t="n">
        <x:f>100*$E37/$C37</x:f>
        <x:v>62.884325327764245</x:v>
      </x:c>
      <x:c r="H37" s="36" t="n">
        <x:f>100*SUMIFS('Bank assets'!$D$8:$D$77,'Bank assets'!$A$8:$A$77,$A37,'Bank assets'!$B$8:$B$77,$B37)/$C37</x:f>
        <x:v>6.479870054530688</x:v>
      </x:c>
      <x:c r="I37" s="36" t="n">
        <x:f>100*SUMIFS('Bank assets'!$F$8:$F$77,'Bank assets'!$A$8:$A$77,$A37,'Bank assets'!$B$8:$B$77,$B37)/$C37</x:f>
        <x:v>17.61805313841513</x:v>
      </x:c>
      <x:c r="J37" s="36" t="n">
        <x:f>100*SUMIFS('Bank funding'!$F$8:$F$77,'Bank funding'!$A$8:$A$77,$A37,'Bank funding'!$B$8:$B$77,$B37)/$C37</x:f>
        <x:v>42.69636848822369</x:v>
      </x:c>
      <x:c r="K37" s="36" t="n">
        <x:f>100*SUMIFS('Bank funding'!$G$8:$G$77,'Bank funding'!$A$8:$A$77,$A37,'Bank funding'!$B$8:$B$77,$B37)/$C37</x:f>
        <x:v>47.07042580345748</x:v>
      </x:c>
      <x:c r="L37" s="36" t="n">
        <x:f>100*SUMIFS('Bank income'!$C$8:$C$77,'Bank income'!$A$8:$A$77,$A37,'Bank income'!$B$8:$B$77,$B37)/$C37</x:f>
        <x:v>0.7541478129713424</x:v>
      </x:c>
      <x:c r="M37" s="36" t="n">
        <x:f>100*SUMIFS('Bank income'!$D$8:$D$77,'Bank income'!$A$8:$A$77,$A37,'Bank income'!$B$8:$B$77,$B37)/$C37</x:f>
        <x:v>0.881772827474185</x:v>
      </x:c>
      <x:c r="N37" s="2"/>
    </x:row>
    <x:row r="38" ht="22" customHeight="1">
      <x:c r="A38" s="29" t="str">
        <x:v>moravska</x:v>
      </x:c>
      <x:c r="B38" s="19" t="n">
        <x:v>1933</x:v>
      </x:c>
      <x:c r="C38" s="30" t="n">
        <x:f>SUMIFS('Bank assets'!$C$8:$C$77,'Bank assets'!$A$8:$A$77,$A38,'Bank assets'!$B$8:$B$77,$B38)</x:f>
        <x:v>1975.2</x:v>
      </x:c>
      <x:c r="D38" s="30" t="n">
        <x:f>SUMIFS('Bank funding'!$C$8:$C$77,'Bank funding'!$A$8:$A$77,$A38,'Bank funding'!$B$8:$B$77,$B38)+SUMIFS('Bank funding'!$D$8:$D$77,'Bank funding'!$A$8:$A$77,$A38,'Bank funding'!$B$8:$B$77,$B38)</x:f>
        <x:v>80.5</x:v>
      </x:c>
      <x:c r="E38" s="30" t="n">
        <x:f>SUMIFS('Bank assets'!$H$8:$H$77,'Bank assets'!$A$8:$A$77,$A38,'Bank assets'!$B$8:$B$77,$B38)+SUMIFS('Bank assets'!$E$8:$E$77,'Bank assets'!$A$8:$A$77,$A38,'Bank assets'!$B$8:$B$77,$B38)</x:f>
        <x:v>1244.3</x:v>
      </x:c>
      <x:c r="F38" s="35" t="n">
        <x:f>100*$D38/$C38</x:f>
        <x:v>4.075536654515998</x:v>
      </x:c>
      <x:c r="G38" s="35" t="n">
        <x:f>100*$E38/$C38</x:f>
        <x:v>62.99615228837586</x:v>
      </x:c>
      <x:c r="H38" s="35" t="n">
        <x:f>100*SUMIFS('Bank assets'!$D$8:$D$77,'Bank assets'!$A$8:$A$77,$A38,'Bank assets'!$B$8:$B$77,$B38)/$C38</x:f>
        <x:v>3.149048197650871</x:v>
      </x:c>
      <x:c r="I38" s="35" t="n">
        <x:f>100*SUMIFS('Bank assets'!$F$8:$F$77,'Bank assets'!$A$8:$A$77,$A38,'Bank assets'!$B$8:$B$77,$B38)/$C38</x:f>
        <x:v>29.51093560145808</x:v>
      </x:c>
      <x:c r="J38" s="35" t="n">
        <x:f>100*SUMIFS('Bank funding'!$F$8:$F$77,'Bank funding'!$A$8:$A$77,$A38,'Bank funding'!$B$8:$B$77,$B38)/$C38</x:f>
        <x:v>19.24868367760227</x:v>
      </x:c>
      <x:c r="K38" s="35" t="n">
        <x:f>100*SUMIFS('Bank funding'!$G$8:$G$77,'Bank funding'!$A$8:$A$77,$A38,'Bank funding'!$B$8:$B$77,$B38)/$C38</x:f>
        <x:v>75.82017010935601</x:v>
      </x:c>
      <x:c r="L38" s="35" t="n">
        <x:f>100*SUMIFS('Bank income'!$C$8:$C$77,'Bank income'!$A$8:$A$77,$A38,'Bank income'!$B$8:$B$77,$B38)/$C38</x:f>
        <x:v>0.19744835965978128</x:v>
      </x:c>
      <x:c r="M38" s="35" t="n">
        <x:f>100*SUMIFS('Bank income'!$D$8:$D$77,'Bank income'!$A$8:$A$77,$A38,'Bank income'!$B$8:$B$77,$B38)/$C38</x:f>
        <x:v>0.44704333738355606</x:v>
      </x:c>
      <x:c r="N38" s="2"/>
    </x:row>
    <x:row r="39" ht="22" customHeight="1">
      <x:c r="A39" s="31" t="str">
        <x:v>moravska</x:v>
      </x:c>
      <x:c r="B39" s="22" t="n">
        <x:v>1934</x:v>
      </x:c>
      <x:c r="C39" s="32" t="n">
        <x:f>SUMIFS('Bank assets'!$C$8:$C$77,'Bank assets'!$A$8:$A$77,$A39,'Bank assets'!$B$8:$B$77,$B39)</x:f>
        <x:v>1954.7</x:v>
      </x:c>
      <x:c r="D39" s="32" t="n">
        <x:f>SUMIFS('Bank funding'!$C$8:$C$77,'Bank funding'!$A$8:$A$77,$A39,'Bank funding'!$B$8:$B$77,$B39)+SUMIFS('Bank funding'!$D$8:$D$77,'Bank funding'!$A$8:$A$77,$A39,'Bank funding'!$B$8:$B$77,$B39)</x:f>
        <x:v>80.6</x:v>
      </x:c>
      <x:c r="E39" s="32" t="n">
        <x:f>SUMIFS('Bank assets'!$H$8:$H$77,'Bank assets'!$A$8:$A$77,$A39,'Bank assets'!$B$8:$B$77,$B39)+SUMIFS('Bank assets'!$E$8:$E$77,'Bank assets'!$A$8:$A$77,$A39,'Bank assets'!$B$8:$B$77,$B39)</x:f>
        <x:v>1238.3999999999999</x:v>
      </x:c>
      <x:c r="F39" s="36" t="n">
        <x:f>100*$D39/$C39</x:f>
        <x:v>4.123394894357189</x:v>
      </x:c>
      <x:c r="G39" s="36" t="n">
        <x:f>100*$E39/$C39</x:f>
        <x:v>63.354990535632055</x:v>
      </x:c>
      <x:c r="H39" s="36" t="n">
        <x:f>100*SUMIFS('Bank assets'!$D$8:$D$77,'Bank assets'!$A$8:$A$77,$A39,'Bank assets'!$B$8:$B$77,$B39)/$C39</x:f>
        <x:v>3.9750345321532716</x:v>
      </x:c>
      <x:c r="I39" s="36" t="n">
        <x:f>100*SUMIFS('Bank assets'!$F$8:$F$77,'Bank assets'!$A$8:$A$77,$A39,'Bank assets'!$B$8:$B$77,$B39)/$C39</x:f>
        <x:v>29.53394382769734</x:v>
      </x:c>
      <x:c r="J39" s="36" t="n">
        <x:f>100*SUMIFS('Bank funding'!$F$8:$F$77,'Bank funding'!$A$8:$A$77,$A39,'Bank funding'!$B$8:$B$77,$B39)/$C39</x:f>
        <x:v>18.350642042257125</x:v>
      </x:c>
      <x:c r="K39" s="36" t="n">
        <x:f>100*SUMIFS('Bank funding'!$G$8:$G$77,'Bank funding'!$A$8:$A$77,$A39,'Bank funding'!$B$8:$B$77,$B39)/$C39</x:f>
        <x:v>76.79950887604235</x:v>
      </x:c>
      <x:c r="L39" s="36" t="n">
        <x:f>100*SUMIFS('Bank income'!$C$8:$C$77,'Bank income'!$A$8:$A$77,$A39,'Bank income'!$B$8:$B$77,$B39)/$C39</x:f>
        <x:v>0.5064715813168261</x:v>
      </x:c>
      <x:c r="M39" s="36" t="n">
        <x:f>100*SUMIFS('Bank income'!$D$8:$D$77,'Bank income'!$A$8:$A$77,$A39,'Bank income'!$B$8:$B$77,$B39)/$C39</x:f>
        <x:v>0.4358725124059958</x:v>
      </x:c>
      <x:c r="N39" s="2"/>
    </x:row>
    <x:row r="40" ht="22" customHeight="1">
      <x:c r="A40" s="29" t="str">
        <x:v>moravska</x:v>
      </x:c>
      <x:c r="B40" s="19" t="n">
        <x:v>1935</x:v>
      </x:c>
      <x:c r="C40" s="30" t="n">
        <x:f>SUMIFS('Bank assets'!$C$8:$C$77,'Bank assets'!$A$8:$A$77,$A40,'Bank assets'!$B$8:$B$77,$B40)</x:f>
        <x:v>1999.5</x:v>
      </x:c>
      <x:c r="D40" s="30" t="n">
        <x:f>SUMIFS('Bank funding'!$C$8:$C$77,'Bank funding'!$A$8:$A$77,$A40,'Bank funding'!$B$8:$B$77,$B40)+SUMIFS('Bank funding'!$D$8:$D$77,'Bank funding'!$A$8:$A$77,$A40,'Bank funding'!$B$8:$B$77,$B40)</x:f>
        <x:v>80.7</x:v>
      </x:c>
      <x:c r="E40" s="30" t="n">
        <x:f>SUMIFS('Bank assets'!$H$8:$H$77,'Bank assets'!$A$8:$A$77,$A40,'Bank assets'!$B$8:$B$77,$B40)+SUMIFS('Bank assets'!$E$8:$E$77,'Bank assets'!$A$8:$A$77,$A40,'Bank assets'!$B$8:$B$77,$B40)</x:f>
        <x:v>1238.7</x:v>
      </x:c>
      <x:c r="F40" s="35" t="n">
        <x:f>100*$D40/$C40</x:f>
        <x:v>4.036009002250562</x:v>
      </x:c>
      <x:c r="G40" s="35" t="n">
        <x:f>100*$E40/$C40</x:f>
        <x:v>61.950487621905474</x:v>
      </x:c>
      <x:c r="H40" s="35" t="n">
        <x:f>100*SUMIFS('Bank assets'!$D$8:$D$77,'Bank assets'!$A$8:$A$77,$A40,'Bank assets'!$B$8:$B$77,$B40)/$C40</x:f>
        <x:v>4.4211052763190795</x:v>
      </x:c>
      <x:c r="I40" s="35" t="n">
        <x:f>100*SUMIFS('Bank assets'!$F$8:$F$77,'Bank assets'!$A$8:$A$77,$A40,'Bank assets'!$B$8:$B$77,$B40)/$C40</x:f>
        <x:v>28.897224306076517</x:v>
      </x:c>
      <x:c r="J40" s="35" t="n">
        <x:f>100*SUMIFS('Bank funding'!$F$8:$F$77,'Bank funding'!$A$8:$A$77,$A40,'Bank funding'!$B$8:$B$77,$B40)/$C40</x:f>
        <x:v>18.309577394348587</x:v>
      </x:c>
      <x:c r="K40" s="35" t="n">
        <x:f>100*SUMIFS('Bank funding'!$G$8:$G$77,'Bank funding'!$A$8:$A$77,$A40,'Bank funding'!$B$8:$B$77,$B40)/$C40</x:f>
        <x:v>76.91422855713928</x:v>
      </x:c>
      <x:c r="L40" s="35" t="n">
        <x:f>100*SUMIFS('Bank income'!$C$8:$C$77,'Bank income'!$A$8:$A$77,$A40,'Bank income'!$B$8:$B$77,$B40)/$C40</x:f>
        <x:v>0.37809452363090773</x:v>
      </x:c>
      <x:c r="M40" s="35" t="n">
        <x:f>100*SUMIFS('Bank income'!$D$8:$D$77,'Bank income'!$A$8:$A$77,$A40,'Bank income'!$B$8:$B$77,$B40)/$C40</x:f>
        <x:v>0.4121030257564391</x:v>
      </x:c>
      <x:c r="N40" s="2"/>
    </x:row>
    <x:row r="41" ht="22" customHeight="1">
      <x:c r="A41" s="31" t="str">
        <x:v>moravska</x:v>
      </x:c>
      <x:c r="B41" s="22" t="n">
        <x:v>1936</x:v>
      </x:c>
      <x:c r="C41" s="32" t="n">
        <x:f>SUMIFS('Bank assets'!$C$8:$C$77,'Bank assets'!$A$8:$A$77,$A41,'Bank assets'!$B$8:$B$77,$B41)</x:f>
        <x:v>2067.7</x:v>
      </x:c>
      <x:c r="D41" s="32" t="n">
        <x:f>SUMIFS('Bank funding'!$C$8:$C$77,'Bank funding'!$A$8:$A$77,$A41,'Bank funding'!$B$8:$B$77,$B41)+SUMIFS('Bank funding'!$D$8:$D$77,'Bank funding'!$A$8:$A$77,$A41,'Bank funding'!$B$8:$B$77,$B41)</x:f>
        <x:v>80.7</x:v>
      </x:c>
      <x:c r="E41" s="32" t="n">
        <x:f>SUMIFS('Bank assets'!$H$8:$H$77,'Bank assets'!$A$8:$A$77,$A41,'Bank assets'!$B$8:$B$77,$B41)+SUMIFS('Bank assets'!$E$8:$E$77,'Bank assets'!$A$8:$A$77,$A41,'Bank assets'!$B$8:$B$77,$B41)</x:f>
        <x:v>1255.6000000000001</x:v>
      </x:c>
      <x:c r="F41" s="36" t="n">
        <x:f>100*$D41/$C41</x:f>
        <x:v>3.9028872660443974</x:v>
      </x:c>
      <x:c r="G41" s="36" t="n">
        <x:f>100*$E41/$C41</x:f>
        <x:v>60.72447647144171</x:v>
      </x:c>
      <x:c r="H41" s="36" t="n">
        <x:f>100*SUMIFS('Bank assets'!$D$8:$D$77,'Bank assets'!$A$8:$A$77,$A41,'Bank assets'!$B$8:$B$77,$B41)/$C41</x:f>
        <x:v>6.490303235479034</x:v>
      </x:c>
      <x:c r="I41" s="36" t="n">
        <x:f>100*SUMIFS('Bank assets'!$F$8:$F$77,'Bank assets'!$A$8:$A$77,$A41,'Bank assets'!$B$8:$B$77,$B41)/$C41</x:f>
        <x:v>27.779658557817868</x:v>
      </x:c>
      <x:c r="J41" s="36" t="n">
        <x:f>100*SUMIFS('Bank funding'!$F$8:$F$77,'Bank funding'!$A$8:$A$77,$A41,'Bank funding'!$B$8:$B$77,$B41)/$C41</x:f>
        <x:v>18.80350147506892</x:v>
      </x:c>
      <x:c r="K41" s="36" t="n">
        <x:f>100*SUMIFS('Bank funding'!$G$8:$G$77,'Bank funding'!$A$8:$A$77,$A41,'Bank funding'!$B$8:$B$77,$B41)/$C41</x:f>
        <x:v>76.09904725056828</x:v>
      </x:c>
      <x:c r="L41" s="36" t="n">
        <x:f>100*SUMIFS('Bank income'!$C$8:$C$77,'Bank income'!$A$8:$A$77,$A41,'Bank income'!$B$8:$B$77,$B41)/$C41</x:f>
        <x:v>0.4062484886588964</x:v>
      </x:c>
      <x:c r="M41" s="36" t="n">
        <x:f>100*SUMIFS('Bank income'!$D$8:$D$77,'Bank income'!$A$8:$A$77,$A41,'Bank income'!$B$8:$B$77,$B41)/$C41</x:f>
        <x:v>0.4236591381728491</x:v>
      </x:c>
      <x:c r="N41" s="2"/>
    </x:row>
    <x:row r="42" ht="22" customHeight="1">
      <x:c r="A42" s="29" t="str">
        <x:v>moravska</x:v>
      </x:c>
      <x:c r="B42" s="19" t="n">
        <x:v>1937</x:v>
      </x:c>
      <x:c r="C42" s="30" t="n">
        <x:f>SUMIFS('Bank assets'!$C$8:$C$77,'Bank assets'!$A$8:$A$77,$A42,'Bank assets'!$B$8:$B$77,$B42)</x:f>
        <x:v>2085.8</x:v>
      </x:c>
      <x:c r="D42" s="30" t="n">
        <x:f>SUMIFS('Bank funding'!$C$8:$C$77,'Bank funding'!$A$8:$A$77,$A42,'Bank funding'!$B$8:$B$77,$B42)+SUMIFS('Bank funding'!$D$8:$D$77,'Bank funding'!$A$8:$A$77,$A42,'Bank funding'!$B$8:$B$77,$B42)</x:f>
        <x:v>80.8</x:v>
      </x:c>
      <x:c r="E42" s="30" t="n">
        <x:f>SUMIFS('Bank assets'!$H$8:$H$77,'Bank assets'!$A$8:$A$77,$A42,'Bank assets'!$B$8:$B$77,$B42)+SUMIFS('Bank assets'!$E$8:$E$77,'Bank assets'!$A$8:$A$77,$A42,'Bank assets'!$B$8:$B$77,$B42)</x:f>
        <x:v>1258.4</x:v>
      </x:c>
      <x:c r="F42" s="35" t="n">
        <x:f>100*$D42/$C42</x:f>
        <x:v>3.873813404928564</x:v>
      </x:c>
      <x:c r="G42" s="35" t="n">
        <x:f>100*$E42/$C42</x:f>
        <x:v>60.331767187649824</x:v>
      </x:c>
      <x:c r="H42" s="35" t="n">
        <x:f>100*SUMIFS('Bank assets'!$D$8:$D$77,'Bank assets'!$A$8:$A$77,$A42,'Bank assets'!$B$8:$B$77,$B42)/$C42</x:f>
        <x:v>6.6401380765174025</x:v>
      </x:c>
      <x:c r="I42" s="35" t="n">
        <x:f>100*SUMIFS('Bank assets'!$F$8:$F$77,'Bank assets'!$A$8:$A$77,$A42,'Bank assets'!$B$8:$B$77,$B42)/$C42</x:f>
        <x:v>27.730367245181704</x:v>
      </x:c>
      <x:c r="J42" s="35" t="n">
        <x:f>100*SUMIFS('Bank funding'!$F$8:$F$77,'Bank funding'!$A$8:$A$77,$A42,'Bank funding'!$B$8:$B$77,$B42)/$C42</x:f>
        <x:v>19.52727970083421</x:v>
      </x:c>
      <x:c r="K42" s="35" t="n">
        <x:f>100*SUMIFS('Bank funding'!$G$8:$G$77,'Bank funding'!$A$8:$A$77,$A42,'Bank funding'!$B$8:$B$77,$B42)/$C42</x:f>
        <x:v>75.10307795570044</x:v>
      </x:c>
      <x:c r="L42" s="35" t="n">
        <x:f>100*SUMIFS('Bank income'!$C$8:$C$77,'Bank income'!$A$8:$A$77,$A42,'Bank income'!$B$8:$B$77,$B42)/$C42</x:f>
        <x:v>0.5714833636973823</x:v>
      </x:c>
      <x:c r="M42" s="35" t="n">
        <x:f>100*SUMIFS('Bank income'!$D$8:$D$77,'Bank income'!$A$8:$A$77,$A42,'Bank income'!$B$8:$B$77,$B42)/$C42</x:f>
        <x:v>0.457857896250839</x:v>
      </x:c>
      <x:c r="N42" s="2"/>
    </x:row>
    <x:row r="43" ht="22" customHeight="1">
      <x:c r="A43" s="31" t="str">
        <x:v>plzenska</x:v>
      </x:c>
      <x:c r="B43" s="22" t="n">
        <x:v>1933</x:v>
      </x:c>
      <x:c r="C43" s="32" t="n">
        <x:f>SUMIFS('Bank assets'!$C$8:$C$77,'Bank assets'!$A$8:$A$77,$A43,'Bank assets'!$B$8:$B$77,$B43)</x:f>
        <x:v>200.4</x:v>
      </x:c>
      <x:c r="D43" s="32" t="n">
        <x:f>SUMIFS('Bank funding'!$C$8:$C$77,'Bank funding'!$A$8:$A$77,$A43,'Bank funding'!$B$8:$B$77,$B43)+SUMIFS('Bank funding'!$D$8:$D$77,'Bank funding'!$A$8:$A$77,$A43,'Bank funding'!$B$8:$B$77,$B43)</x:f>
        <x:v>27.3</x:v>
      </x:c>
      <x:c r="E43" s="32" t="n">
        <x:f>SUMIFS('Bank assets'!$H$8:$H$77,'Bank assets'!$A$8:$A$77,$A43,'Bank assets'!$B$8:$B$77,$B43)+SUMIFS('Bank assets'!$E$8:$E$77,'Bank assets'!$A$8:$A$77,$A43,'Bank assets'!$B$8:$B$77,$B43)</x:f>
        <x:v>137.9</x:v>
      </x:c>
      <x:c r="F43" s="36" t="n">
        <x:f>100*$D43/$C43</x:f>
        <x:v>13.622754491017965</x:v>
      </x:c>
      <x:c r="G43" s="36" t="n">
        <x:f>100*$E43/$C43</x:f>
        <x:v>68.812375249501</x:v>
      </x:c>
      <x:c r="H43" s="36" t="n">
        <x:f>100*SUMIFS('Bank assets'!$D$8:$D$77,'Bank assets'!$A$8:$A$77,$A43,'Bank assets'!$B$8:$B$77,$B43)/$C43</x:f>
        <x:v>17.415169660678643</x:v>
      </x:c>
      <x:c r="I43" s="36" t="n">
        <x:f>100*SUMIFS('Bank assets'!$F$8:$F$77,'Bank assets'!$A$8:$A$77,$A43,'Bank assets'!$B$8:$B$77,$B43)/$C43</x:f>
        <x:v>8.08383233532934</x:v>
      </x:c>
      <x:c r="J43" s="36" t="n">
        <x:f>100*SUMIFS('Bank funding'!$F$8:$F$77,'Bank funding'!$A$8:$A$77,$A43,'Bank funding'!$B$8:$B$77,$B43)/$C43</x:f>
        <x:v>51.147704590818364</x:v>
      </x:c>
      <x:c r="K43" s="36" t="n">
        <x:f>100*SUMIFS('Bank funding'!$G$8:$G$77,'Bank funding'!$A$8:$A$77,$A43,'Bank funding'!$B$8:$B$77,$B43)/$C43</x:f>
        <x:v>32.48502994011975</x:v>
      </x:c>
      <x:c r="L43" s="36" t="n">
        <x:f>100*SUMIFS('Bank income'!$C$8:$C$77,'Bank income'!$A$8:$A$77,$A43,'Bank income'!$B$8:$B$77,$B43)/$C43</x:f>
        <x:v>1.5518962075848304</x:v>
      </x:c>
      <x:c r="M43" s="36" t="n">
        <x:f>100*SUMIFS('Bank income'!$D$8:$D$77,'Bank income'!$A$8:$A$77,$A43,'Bank income'!$B$8:$B$77,$B43)/$C43</x:f>
        <x:v>0.41916167664670656</x:v>
      </x:c>
      <x:c r="N43" s="2"/>
    </x:row>
    <x:row r="44" ht="22" customHeight="1">
      <x:c r="A44" s="29" t="str">
        <x:v>plzenska</x:v>
      </x:c>
      <x:c r="B44" s="19" t="n">
        <x:v>1934</x:v>
      </x:c>
      <x:c r="C44" s="30" t="n">
        <x:f>SUMIFS('Bank assets'!$C$8:$C$77,'Bank assets'!$A$8:$A$77,$A44,'Bank assets'!$B$8:$B$77,$B44)</x:f>
        <x:v>208</x:v>
      </x:c>
      <x:c r="D44" s="30" t="n">
        <x:f>SUMIFS('Bank funding'!$C$8:$C$77,'Bank funding'!$A$8:$A$77,$A44,'Bank funding'!$B$8:$B$77,$B44)+SUMIFS('Bank funding'!$D$8:$D$77,'Bank funding'!$A$8:$A$77,$A44,'Bank funding'!$B$8:$B$77,$B44)</x:f>
        <x:v>27.3</x:v>
      </x:c>
      <x:c r="E44" s="30" t="n">
        <x:f>SUMIFS('Bank assets'!$H$8:$H$77,'Bank assets'!$A$8:$A$77,$A44,'Bank assets'!$B$8:$B$77,$B44)+SUMIFS('Bank assets'!$E$8:$E$77,'Bank assets'!$A$8:$A$77,$A44,'Bank assets'!$B$8:$B$77,$B44)</x:f>
        <x:v>140.6</x:v>
      </x:c>
      <x:c r="F44" s="35" t="n">
        <x:f>100*$D44/$C44</x:f>
        <x:v>13.125</x:v>
      </x:c>
      <x:c r="G44" s="35" t="n">
        <x:f>100*$E44/$C44</x:f>
        <x:v>67.59615384615384</x:v>
      </x:c>
      <x:c r="H44" s="35" t="n">
        <x:f>100*SUMIFS('Bank assets'!$D$8:$D$77,'Bank assets'!$A$8:$A$77,$A44,'Bank assets'!$B$8:$B$77,$B44)/$C44</x:f>
        <x:v>18.942307692307693</x:v>
      </x:c>
      <x:c r="I44" s="35" t="n">
        <x:f>100*SUMIFS('Bank assets'!$F$8:$F$77,'Bank assets'!$A$8:$A$77,$A44,'Bank assets'!$B$8:$B$77,$B44)/$C44</x:f>
        <x:v>7.5</x:v>
      </x:c>
      <x:c r="J44" s="35" t="n">
        <x:f>100*SUMIFS('Bank funding'!$F$8:$F$77,'Bank funding'!$A$8:$A$77,$A44,'Bank funding'!$B$8:$B$77,$B44)/$C44</x:f>
        <x:v>48.55769230769231</x:v>
      </x:c>
      <x:c r="K44" s="35" t="n">
        <x:f>100*SUMIFS('Bank funding'!$G$8:$G$77,'Bank funding'!$A$8:$A$77,$A44,'Bank funding'!$B$8:$B$77,$B44)/$C44</x:f>
        <x:v>35.48076923076923</x:v>
      </x:c>
      <x:c r="L44" s="35" t="n">
        <x:f>100*SUMIFS('Bank income'!$C$8:$C$77,'Bank income'!$A$8:$A$77,$A44,'Bank income'!$B$8:$B$77,$B44)/$C44</x:f>
        <x:v>1.1826923076923077</x:v>
      </x:c>
      <x:c r="M44" s="35" t="n">
        <x:f>100*SUMIFS('Bank income'!$D$8:$D$77,'Bank income'!$A$8:$A$77,$A44,'Bank income'!$B$8:$B$77,$B44)/$C44</x:f>
        <x:v>0.4230769230769231</x:v>
      </x:c>
      <x:c r="N44" s="2"/>
    </x:row>
    <x:row r="45" ht="22" customHeight="1">
      <x:c r="A45" s="31" t="str">
        <x:v>plzenska</x:v>
      </x:c>
      <x:c r="B45" s="22" t="n">
        <x:v>1935</x:v>
      </x:c>
      <x:c r="C45" s="32" t="n">
        <x:f>SUMIFS('Bank assets'!$C$8:$C$77,'Bank assets'!$A$8:$A$77,$A45,'Bank assets'!$B$8:$B$77,$B45)</x:f>
        <x:v>224</x:v>
      </x:c>
      <x:c r="D45" s="32" t="n">
        <x:f>SUMIFS('Bank funding'!$C$8:$C$77,'Bank funding'!$A$8:$A$77,$A45,'Bank funding'!$B$8:$B$77,$B45)+SUMIFS('Bank funding'!$D$8:$D$77,'Bank funding'!$A$8:$A$77,$A45,'Bank funding'!$B$8:$B$77,$B45)</x:f>
        <x:v>27.8</x:v>
      </x:c>
      <x:c r="E45" s="32" t="n">
        <x:f>SUMIFS('Bank assets'!$H$8:$H$77,'Bank assets'!$A$8:$A$77,$A45,'Bank assets'!$B$8:$B$77,$B45)+SUMIFS('Bank assets'!$E$8:$E$77,'Bank assets'!$A$8:$A$77,$A45,'Bank assets'!$B$8:$B$77,$B45)</x:f>
        <x:v>124.89999999999999</x:v>
      </x:c>
      <x:c r="F45" s="36" t="n">
        <x:f>100*$D45/$C45</x:f>
        <x:v>12.410714285714286</x:v>
      </x:c>
      <x:c r="G45" s="36" t="n">
        <x:f>100*$E45/$C45</x:f>
        <x:v>55.75892857142857</x:v>
      </x:c>
      <x:c r="H45" s="36" t="n">
        <x:f>100*SUMIFS('Bank assets'!$D$8:$D$77,'Bank assets'!$A$8:$A$77,$A45,'Bank assets'!$B$8:$B$77,$B45)/$C45</x:f>
        <x:v>29.598214285714285</x:v>
      </x:c>
      <x:c r="I45" s="36" t="n">
        <x:f>100*SUMIFS('Bank assets'!$F$8:$F$77,'Bank assets'!$A$8:$A$77,$A45,'Bank assets'!$B$8:$B$77,$B45)/$C45</x:f>
        <x:v>6.830357142857143</x:v>
      </x:c>
      <x:c r="J45" s="36" t="n">
        <x:f>100*SUMIFS('Bank funding'!$F$8:$F$77,'Bank funding'!$A$8:$A$77,$A45,'Bank funding'!$B$8:$B$77,$B45)/$C45</x:f>
        <x:v>47.94642857142857</x:v>
      </x:c>
      <x:c r="K45" s="36" t="n">
        <x:f>100*SUMIFS('Bank funding'!$G$8:$G$77,'Bank funding'!$A$8:$A$77,$A45,'Bank funding'!$B$8:$B$77,$B45)/$C45</x:f>
        <x:v>34.10714285714286</x:v>
      </x:c>
      <x:c r="L45" s="36" t="n">
        <x:f>100*SUMIFS('Bank income'!$C$8:$C$77,'Bank income'!$A$8:$A$77,$A45,'Bank income'!$B$8:$B$77,$B45)/$C45</x:f>
        <x:v>1.2544642857142858</x:v>
      </x:c>
      <x:c r="M45" s="36" t="n">
        <x:f>100*SUMIFS('Bank income'!$D$8:$D$77,'Bank income'!$A$8:$A$77,$A45,'Bank income'!$B$8:$B$77,$B45)/$C45</x:f>
        <x:v>0.42857142857142855</x:v>
      </x:c>
      <x:c r="N45" s="2"/>
    </x:row>
    <x:row r="46" ht="22" customHeight="1">
      <x:c r="A46" s="29" t="str">
        <x:v>plzenska</x:v>
      </x:c>
      <x:c r="B46" s="19" t="n">
        <x:v>1936</x:v>
      </x:c>
      <x:c r="C46" s="30" t="n">
        <x:f>SUMIFS('Bank assets'!$C$8:$C$77,'Bank assets'!$A$8:$A$77,$A46,'Bank assets'!$B$8:$B$77,$B46)</x:f>
        <x:v>205.2</x:v>
      </x:c>
      <x:c r="D46" s="30" t="n">
        <x:f>SUMIFS('Bank funding'!$C$8:$C$77,'Bank funding'!$A$8:$A$77,$A46,'Bank funding'!$B$8:$B$77,$B46)+SUMIFS('Bank funding'!$D$8:$D$77,'Bank funding'!$A$8:$A$77,$A46,'Bank funding'!$B$8:$B$77,$B46)</x:f>
        <x:v>27.4</x:v>
      </x:c>
      <x:c r="E46" s="30" t="n">
        <x:f>SUMIFS('Bank assets'!$H$8:$H$77,'Bank assets'!$A$8:$A$77,$A46,'Bank assets'!$B$8:$B$77,$B46)+SUMIFS('Bank assets'!$E$8:$E$77,'Bank assets'!$A$8:$A$77,$A46,'Bank assets'!$B$8:$B$77,$B46)</x:f>
        <x:v>130.29999999999998</x:v>
      </x:c>
      <x:c r="F46" s="35" t="n">
        <x:f>100*$D46/$C46</x:f>
        <x:v>13.352826510721249</x:v>
      </x:c>
      <x:c r="G46" s="35" t="n">
        <x:f>100*$E46/$C46</x:f>
        <x:v>63.4990253411306</x:v>
      </x:c>
      <x:c r="H46" s="35" t="n">
        <x:f>100*SUMIFS('Bank assets'!$D$8:$D$77,'Bank assets'!$A$8:$A$77,$A46,'Bank assets'!$B$8:$B$77,$B46)/$C46</x:f>
        <x:v>23.440545808966863</x:v>
      </x:c>
      <x:c r="I46" s="35" t="n">
        <x:f>100*SUMIFS('Bank assets'!$F$8:$F$77,'Bank assets'!$A$8:$A$77,$A46,'Bank assets'!$B$8:$B$77,$B46)/$C46</x:f>
        <x:v>7.358674463937622</x:v>
      </x:c>
      <x:c r="J46" s="35" t="n">
        <x:f>100*SUMIFS('Bank funding'!$F$8:$F$77,'Bank funding'!$A$8:$A$77,$A46,'Bank funding'!$B$8:$B$77,$B46)/$C46</x:f>
        <x:v>52.3879142300195</x:v>
      </x:c>
      <x:c r="K46" s="35" t="n">
        <x:f>100*SUMIFS('Bank funding'!$G$8:$G$77,'Bank funding'!$A$8:$A$77,$A46,'Bank funding'!$B$8:$B$77,$B46)/$C46</x:f>
        <x:v>30.945419103313842</x:v>
      </x:c>
      <x:c r="L46" s="35" t="n">
        <x:f>100*SUMIFS('Bank income'!$C$8:$C$77,'Bank income'!$A$8:$A$77,$A46,'Bank income'!$B$8:$B$77,$B46)/$C46</x:f>
        <x:v>1.5399610136452242</x:v>
      </x:c>
      <x:c r="M46" s="35" t="n">
        <x:f>100*SUMIFS('Bank income'!$D$8:$D$77,'Bank income'!$A$8:$A$77,$A46,'Bank income'!$B$8:$B$77,$B46)/$C46</x:f>
        <x:v>0.3703703703703704</x:v>
      </x:c>
      <x:c r="N46" s="2"/>
    </x:row>
    <x:row r="47" ht="22" customHeight="1">
      <x:c r="A47" s="31" t="str">
        <x:v>plzenska</x:v>
      </x:c>
      <x:c r="B47" s="22" t="n">
        <x:v>1937</x:v>
      </x:c>
      <x:c r="C47" s="32" t="n">
        <x:f>SUMIFS('Bank assets'!$C$8:$C$77,'Bank assets'!$A$8:$A$77,$A47,'Bank assets'!$B$8:$B$77,$B47)</x:f>
        <x:v>205.8</x:v>
      </x:c>
      <x:c r="D47" s="32" t="n">
        <x:f>SUMIFS('Bank funding'!$C$8:$C$77,'Bank funding'!$A$8:$A$77,$A47,'Bank funding'!$B$8:$B$77,$B47)+SUMIFS('Bank funding'!$D$8:$D$77,'Bank funding'!$A$8:$A$77,$A47,'Bank funding'!$B$8:$B$77,$B47)</x:f>
        <x:v>28</x:v>
      </x:c>
      <x:c r="E47" s="32" t="n">
        <x:f>SUMIFS('Bank assets'!$H$8:$H$77,'Bank assets'!$A$8:$A$77,$A47,'Bank assets'!$B$8:$B$77,$B47)+SUMIFS('Bank assets'!$E$8:$E$77,'Bank assets'!$A$8:$A$77,$A47,'Bank assets'!$B$8:$B$77,$B47)</x:f>
        <x:v>129.4</x:v>
      </x:c>
      <x:c r="F47" s="36" t="n">
        <x:f>100*$D47/$C47</x:f>
        <x:v>13.605442176870747</x:v>
      </x:c>
      <x:c r="G47" s="36" t="n">
        <x:f>100*$E47/$C47</x:f>
        <x:v>62.87657920310981</x:v>
      </x:c>
      <x:c r="H47" s="36" t="n">
        <x:f>100*SUMIFS('Bank assets'!$D$8:$D$77,'Bank assets'!$A$8:$A$77,$A47,'Bank assets'!$B$8:$B$77,$B47)/$C47</x:f>
        <x:v>22.108843537414966</x:v>
      </x:c>
      <x:c r="I47" s="36" t="n">
        <x:f>100*SUMIFS('Bank assets'!$F$8:$F$77,'Bank assets'!$A$8:$A$77,$A47,'Bank assets'!$B$8:$B$77,$B47)/$C47</x:f>
        <x:v>9.912536443148687</x:v>
      </x:c>
      <x:c r="J47" s="36" t="n">
        <x:f>100*SUMIFS('Bank funding'!$F$8:$F$77,'Bank funding'!$A$8:$A$77,$A47,'Bank funding'!$B$8:$B$77,$B47)/$C47</x:f>
        <x:v>52.76967930029154</x:v>
      </x:c>
      <x:c r="K47" s="36" t="n">
        <x:f>100*SUMIFS('Bank funding'!$G$8:$G$77,'Bank funding'!$A$8:$A$77,$A47,'Bank funding'!$B$8:$B$77,$B47)/$C47</x:f>
        <x:v>30.903790087463555</x:v>
      </x:c>
      <x:c r="L47" s="36" t="n">
        <x:f>100*SUMIFS('Bank income'!$C$8:$C$77,'Bank income'!$A$8:$A$77,$A47,'Bank income'!$B$8:$B$77,$B47)/$C47</x:f>
        <x:v>2.691933916423712</x:v>
      </x:c>
      <x:c r="M47" s="36" t="n">
        <x:f>100*SUMIFS('Bank income'!$D$8:$D$77,'Bank income'!$A$8:$A$77,$A47,'Bank income'!$B$8:$B$77,$B47)/$C47</x:f>
        <x:v>0.44703595724003886</x:v>
      </x:c>
      <x:c r="N47" s="2"/>
    </x:row>
    <x:row r="48" ht="22" customHeight="1">
      <x:c r="A48" s="29" t="str">
        <x:v>sporobanka</x:v>
      </x:c>
      <x:c r="B48" s="19" t="n">
        <x:v>1933</x:v>
      </x:c>
      <x:c r="C48" s="30" t="n">
        <x:f>SUMIFS('Bank assets'!$C$8:$C$77,'Bank assets'!$A$8:$A$77,$A48,'Bank assets'!$B$8:$B$77,$B48)</x:f>
        <x:v>696.2</x:v>
      </x:c>
      <x:c r="D48" s="30" t="n">
        <x:f>SUMIFS('Bank funding'!$C$8:$C$77,'Bank funding'!$A$8:$A$77,$A48,'Bank funding'!$B$8:$B$77,$B48)+SUMIFS('Bank funding'!$D$8:$D$77,'Bank funding'!$A$8:$A$77,$A48,'Bank funding'!$B$8:$B$77,$B48)</x:f>
        <x:v>66</x:v>
      </x:c>
      <x:c r="E48" s="30" t="n">
        <x:f>SUMIFS('Bank assets'!$H$8:$H$77,'Bank assets'!$A$8:$A$77,$A48,'Bank assets'!$B$8:$B$77,$B48)+SUMIFS('Bank assets'!$E$8:$E$77,'Bank assets'!$A$8:$A$77,$A48,'Bank assets'!$B$8:$B$77,$B48)</x:f>
        <x:v>272.40000000000003</x:v>
      </x:c>
      <x:c r="F48" s="35" t="n">
        <x:f>100*$D48/$C48</x:f>
        <x:v>9.480034472852628</x:v>
      </x:c>
      <x:c r="G48" s="35" t="n">
        <x:f>100*$E48/$C48</x:f>
        <x:v>39.126687733409945</x:v>
      </x:c>
      <x:c r="H48" s="35" t="n">
        <x:f>100*SUMIFS('Bank assets'!$D$8:$D$77,'Bank assets'!$A$8:$A$77,$A48,'Bank assets'!$B$8:$B$77,$B48)/$C48</x:f>
        <x:v>36.771042803792014</x:v>
      </x:c>
      <x:c r="I48" s="35" t="n">
        <x:f>100*SUMIFS('Bank assets'!$F$8:$F$77,'Bank assets'!$A$8:$A$77,$A48,'Bank assets'!$B$8:$B$77,$B48)/$C48</x:f>
        <x:v>6.592933065211146</x:v>
      </x:c>
      <x:c r="J48" s="35" t="n">
        <x:f>100*SUMIFS('Bank funding'!$F$8:$F$77,'Bank funding'!$A$8:$A$77,$A48,'Bank funding'!$B$8:$B$77,$B48)/$C48</x:f>
        <x:v>20.654984199942547</x:v>
      </x:c>
      <x:c r="K48" s="35" t="n">
        <x:f>100*SUMIFS('Bank funding'!$G$8:$G$77,'Bank funding'!$A$8:$A$77,$A48,'Bank funding'!$B$8:$B$77,$B48)/$C48</x:f>
        <x:v>54.99856363114047</x:v>
      </x:c>
      <x:c r="L48" s="35" t="n">
        <x:f>100*SUMIFS('Bank income'!$C$8:$C$77,'Bank income'!$A$8:$A$77,$A48,'Bank income'!$B$8:$B$77,$B48)/$C48</x:f>
        <x:v>1.8126975007181843</x:v>
      </x:c>
      <x:c r="M48" s="35" t="n">
        <x:f>100*SUMIFS('Bank income'!$D$8:$D$77,'Bank income'!$A$8:$A$77,$A48,'Bank income'!$B$8:$B$77,$B48)/$C48</x:f>
        <x:v>0.2973283539212869</x:v>
      </x:c>
      <x:c r="N48" s="2"/>
    </x:row>
    <x:row r="49" ht="22" customHeight="1">
      <x:c r="A49" s="31" t="str">
        <x:v>sporobanka</x:v>
      </x:c>
      <x:c r="B49" s="22" t="n">
        <x:v>1934</x:v>
      </x:c>
      <x:c r="C49" s="32" t="n">
        <x:f>SUMIFS('Bank assets'!$C$8:$C$77,'Bank assets'!$A$8:$A$77,$A49,'Bank assets'!$B$8:$B$77,$B49)</x:f>
        <x:v>761</x:v>
      </x:c>
      <x:c r="D49" s="32" t="n">
        <x:f>SUMIFS('Bank funding'!$C$8:$C$77,'Bank funding'!$A$8:$A$77,$A49,'Bank funding'!$B$8:$B$77,$B49)+SUMIFS('Bank funding'!$D$8:$D$77,'Bank funding'!$A$8:$A$77,$A49,'Bank funding'!$B$8:$B$77,$B49)</x:f>
        <x:v>67.4</x:v>
      </x:c>
      <x:c r="E49" s="32" t="n">
        <x:f>SUMIFS('Bank assets'!$H$8:$H$77,'Bank assets'!$A$8:$A$77,$A49,'Bank assets'!$B$8:$B$77,$B49)+SUMIFS('Bank assets'!$E$8:$E$77,'Bank assets'!$A$8:$A$77,$A49,'Bank assets'!$B$8:$B$77,$B49)</x:f>
        <x:v>261.3</x:v>
      </x:c>
      <x:c r="F49" s="36" t="n">
        <x:f>100*$D49/$C49</x:f>
        <x:v>8.856767411300922</x:v>
      </x:c>
      <x:c r="G49" s="36" t="n">
        <x:f>100*$E49/$C49</x:f>
        <x:v>34.336399474375824</x:v>
      </x:c>
      <x:c r="H49" s="36" t="n">
        <x:f>100*SUMIFS('Bank assets'!$D$8:$D$77,'Bank assets'!$A$8:$A$77,$A49,'Bank assets'!$B$8:$B$77,$B49)/$C49</x:f>
        <x:v>42.812089356110384</x:v>
      </x:c>
      <x:c r="I49" s="36" t="n">
        <x:f>100*SUMIFS('Bank assets'!$F$8:$F$77,'Bank assets'!$A$8:$A$77,$A49,'Bank assets'!$B$8:$B$77,$B49)/$C49</x:f>
        <x:v>6.701708278580814</x:v>
      </x:c>
      <x:c r="J49" s="36" t="n">
        <x:f>100*SUMIFS('Bank funding'!$F$8:$F$77,'Bank funding'!$A$8:$A$77,$A49,'Bank funding'!$B$8:$B$77,$B49)/$C49</x:f>
        <x:v>18.515111695137975</x:v>
      </x:c>
      <x:c r="K49" s="36" t="n">
        <x:f>100*SUMIFS('Bank funding'!$G$8:$G$77,'Bank funding'!$A$8:$A$77,$A49,'Bank funding'!$B$8:$B$77,$B49)/$C49</x:f>
        <x:v>58.98817345597897</x:v>
      </x:c>
      <x:c r="L49" s="36" t="n">
        <x:f>100*SUMIFS('Bank income'!$C$8:$C$77,'Bank income'!$A$8:$A$77,$A49,'Bank income'!$B$8:$B$77,$B49)/$C49</x:f>
        <x:v>1.4349540078843628</x:v>
      </x:c>
      <x:c r="M49" s="36" t="n">
        <x:f>100*SUMIFS('Bank income'!$D$8:$D$77,'Bank income'!$A$8:$A$77,$A49,'Bank income'!$B$8:$B$77,$B49)/$C49</x:f>
        <x:v>0.2956636005256242</x:v>
      </x:c>
      <x:c r="N49" s="2"/>
    </x:row>
    <x:row r="50" ht="22" customHeight="1">
      <x:c r="A50" s="29" t="str">
        <x:v>sporobanka</x:v>
      </x:c>
      <x:c r="B50" s="19" t="n">
        <x:v>1935</x:v>
      </x:c>
      <x:c r="C50" s="30" t="n">
        <x:f>SUMIFS('Bank assets'!$C$8:$C$77,'Bank assets'!$A$8:$A$77,$A50,'Bank assets'!$B$8:$B$77,$B50)</x:f>
        <x:v>851.2</x:v>
      </x:c>
      <x:c r="D50" s="30" t="n">
        <x:f>SUMIFS('Bank funding'!$C$8:$C$77,'Bank funding'!$A$8:$A$77,$A50,'Bank funding'!$B$8:$B$77,$B50)+SUMIFS('Bank funding'!$D$8:$D$77,'Bank funding'!$A$8:$A$77,$A50,'Bank funding'!$B$8:$B$77,$B50)</x:f>
        <x:v>67.8</x:v>
      </x:c>
      <x:c r="E50" s="30" t="n">
        <x:f>SUMIFS('Bank assets'!$H$8:$H$77,'Bank assets'!$A$8:$A$77,$A50,'Bank assets'!$B$8:$B$77,$B50)+SUMIFS('Bank assets'!$E$8:$E$77,'Bank assets'!$A$8:$A$77,$A50,'Bank assets'!$B$8:$B$77,$B50)</x:f>
        <x:v>242</x:v>
      </x:c>
      <x:c r="F50" s="35" t="n">
        <x:f>100*$D50/$C50</x:f>
        <x:v>7.965225563909774</x:v>
      </x:c>
      <x:c r="G50" s="35" t="n">
        <x:f>100*$E50/$C50</x:f>
        <x:v>28.43045112781955</x:v>
      </x:c>
      <x:c r="H50" s="35" t="n">
        <x:f>100*SUMIFS('Bank assets'!$D$8:$D$77,'Bank assets'!$A$8:$A$77,$A50,'Bank assets'!$B$8:$B$77,$B50)/$C50</x:f>
        <x:v>50.44642857142857</x:v>
      </x:c>
      <x:c r="I50" s="35" t="n">
        <x:f>100*SUMIFS('Bank assets'!$F$8:$F$77,'Bank assets'!$A$8:$A$77,$A50,'Bank assets'!$B$8:$B$77,$B50)/$C50</x:f>
        <x:v>6.414473684210526</x:v>
      </x:c>
      <x:c r="J50" s="35" t="n">
        <x:f>100*SUMIFS('Bank funding'!$F$8:$F$77,'Bank funding'!$A$8:$A$77,$A50,'Bank funding'!$B$8:$B$77,$B50)/$C50</x:f>
        <x:v>17.68092105263158</x:v>
      </x:c>
      <x:c r="K50" s="35" t="n">
        <x:f>100*SUMIFS('Bank funding'!$G$8:$G$77,'Bank funding'!$A$8:$A$77,$A50,'Bank funding'!$B$8:$B$77,$B50)/$C50</x:f>
        <x:v>62.13580827067669</x:v>
      </x:c>
      <x:c r="L50" s="35" t="n">
        <x:f>100*SUMIFS('Bank income'!$C$8:$C$77,'Bank income'!$A$8:$A$77,$A50,'Bank income'!$B$8:$B$77,$B50)/$C50</x:f>
        <x:v>1.180686090225564</x:v>
      </x:c>
      <x:c r="M50" s="35" t="n">
        <x:f>100*SUMIFS('Bank income'!$D$8:$D$77,'Bank income'!$A$8:$A$77,$A50,'Bank income'!$B$8:$B$77,$B50)/$C50</x:f>
        <x:v>0.26668233082706766</x:v>
      </x:c>
      <x:c r="N50" s="2"/>
    </x:row>
    <x:row r="51" ht="22" customHeight="1">
      <x:c r="A51" s="31" t="str">
        <x:v>sporobanka</x:v>
      </x:c>
      <x:c r="B51" s="22" t="n">
        <x:v>1936</x:v>
      </x:c>
      <x:c r="C51" s="32" t="n">
        <x:f>SUMIFS('Bank assets'!$C$8:$C$77,'Bank assets'!$A$8:$A$77,$A51,'Bank assets'!$B$8:$B$77,$B51)</x:f>
        <x:v>848.7</x:v>
      </x:c>
      <x:c r="D51" s="32" t="n">
        <x:f>SUMIFS('Bank funding'!$C$8:$C$77,'Bank funding'!$A$8:$A$77,$A51,'Bank funding'!$B$8:$B$77,$B51)+SUMIFS('Bank funding'!$D$8:$D$77,'Bank funding'!$A$8:$A$77,$A51,'Bank funding'!$B$8:$B$77,$B51)</x:f>
        <x:v>68.6</x:v>
      </x:c>
      <x:c r="E51" s="32" t="n">
        <x:f>SUMIFS('Bank assets'!$H$8:$H$77,'Bank assets'!$A$8:$A$77,$A51,'Bank assets'!$B$8:$B$77,$B51)+SUMIFS('Bank assets'!$E$8:$E$77,'Bank assets'!$A$8:$A$77,$A51,'Bank assets'!$B$8:$B$77,$B51)</x:f>
        <x:v>294</x:v>
      </x:c>
      <x:c r="F51" s="36" t="n">
        <x:f>100*$D51/$C51</x:f>
        <x:v>8.082950394721337</x:v>
      </x:c>
      <x:c r="G51" s="36" t="n">
        <x:f>100*$E51/$C51</x:f>
        <x:v>34.641215977377165</x:v>
      </x:c>
      <x:c r="H51" s="36" t="n">
        <x:f>100*SUMIFS('Bank assets'!$D$8:$D$77,'Bank assets'!$A$8:$A$77,$A51,'Bank assets'!$B$8:$B$77,$B51)/$C51</x:f>
        <x:v>44.38553081182985</x:v>
      </x:c>
      <x:c r="I51" s="36" t="n">
        <x:f>100*SUMIFS('Bank assets'!$F$8:$F$77,'Bank assets'!$A$8:$A$77,$A51,'Bank assets'!$B$8:$B$77,$B51)/$C51</x:f>
        <x:v>6.409803228467067</x:v>
      </x:c>
      <x:c r="J51" s="36" t="n">
        <x:f>100*SUMIFS('Bank funding'!$F$8:$F$77,'Bank funding'!$A$8:$A$77,$A51,'Bank funding'!$B$8:$B$77,$B51)/$C51</x:f>
        <x:v>17.15564981736774</x:v>
      </x:c>
      <x:c r="K51" s="36" t="n">
        <x:f>100*SUMIFS('Bank funding'!$G$8:$G$77,'Bank funding'!$A$8:$A$77,$A51,'Bank funding'!$B$8:$B$77,$B51)/$C51</x:f>
        <x:v>62.31884057971014</x:v>
      </x:c>
      <x:c r="L51" s="36" t="n">
        <x:f>100*SUMIFS('Bank income'!$C$8:$C$77,'Bank income'!$A$8:$A$77,$A51,'Bank income'!$B$8:$B$77,$B51)/$C51</x:f>
        <x:v>1.1617768351596558</x:v>
      </x:c>
      <x:c r="M51" s="36" t="n">
        <x:f>100*SUMIFS('Bank income'!$D$8:$D$77,'Bank income'!$A$8:$A$77,$A51,'Bank income'!$B$8:$B$77,$B51)/$C51</x:f>
        <x:v>0.35466006833981384</x:v>
      </x:c>
      <x:c r="N51" s="2"/>
    </x:row>
    <x:row r="52" ht="22" customHeight="1">
      <x:c r="A52" s="29" t="str">
        <x:v>sporobanka</x:v>
      </x:c>
      <x:c r="B52" s="19" t="n">
        <x:v>1937</x:v>
      </x:c>
      <x:c r="C52" s="30" t="n">
        <x:f>SUMIFS('Bank assets'!$C$8:$C$77,'Bank assets'!$A$8:$A$77,$A52,'Bank assets'!$B$8:$B$77,$B52)</x:f>
        <x:v>1311.5</x:v>
      </x:c>
      <x:c r="D52" s="30" t="n">
        <x:f>SUMIFS('Bank funding'!$C$8:$C$77,'Bank funding'!$A$8:$A$77,$A52,'Bank funding'!$B$8:$B$77,$B52)+SUMIFS('Bank funding'!$D$8:$D$77,'Bank funding'!$A$8:$A$77,$A52,'Bank funding'!$B$8:$B$77,$B52)</x:f>
        <x:v>68.8</x:v>
      </x:c>
      <x:c r="E52" s="30" t="n">
        <x:f>SUMIFS('Bank assets'!$H$8:$H$77,'Bank assets'!$A$8:$A$77,$A52,'Bank assets'!$B$8:$B$77,$B52)+SUMIFS('Bank assets'!$E$8:$E$77,'Bank assets'!$A$8:$A$77,$A52,'Bank assets'!$B$8:$B$77,$B52)</x:f>
        <x:v>386.2</x:v>
      </x:c>
      <x:c r="F52" s="35" t="n">
        <x:f>100*$D52/$C52</x:f>
        <x:v>5.245901639344262</x:v>
      </x:c>
      <x:c r="G52" s="35" t="n">
        <x:f>100*$E52/$C52</x:f>
        <x:v>29.44719786504003</x:v>
      </x:c>
      <x:c r="H52" s="35" t="n">
        <x:f>100*SUMIFS('Bank assets'!$D$8:$D$77,'Bank assets'!$A$8:$A$77,$A52,'Bank assets'!$B$8:$B$77,$B52)/$C52</x:f>
        <x:v>57.0110560426992</x:v>
      </x:c>
      <x:c r="I52" s="35" t="n">
        <x:f>100*SUMIFS('Bank assets'!$F$8:$F$77,'Bank assets'!$A$8:$A$77,$A52,'Bank assets'!$B$8:$B$77,$B52)/$C52</x:f>
        <x:v>4.056423942051087</x:v>
      </x:c>
      <x:c r="J52" s="35" t="n">
        <x:f>100*SUMIFS('Bank funding'!$F$8:$F$77,'Bank funding'!$A$8:$A$77,$A52,'Bank funding'!$B$8:$B$77,$B52)/$C52</x:f>
        <x:v>11.727030118185285</x:v>
      </x:c>
      <x:c r="K52" s="35" t="n">
        <x:f>100*SUMIFS('Bank funding'!$G$8:$G$77,'Bank funding'!$A$8:$A$77,$A52,'Bank funding'!$B$8:$B$77,$B52)/$C52</x:f>
        <x:v>74.99809378574152</x:v>
      </x:c>
      <x:c r="L52" s="35" t="n">
        <x:f>100*SUMIFS('Bank income'!$C$8:$C$77,'Bank income'!$A$8:$A$77,$A52,'Bank income'!$B$8:$B$77,$B52)/$C52</x:f>
        <x:v>0.8738086160884483</x:v>
      </x:c>
      <x:c r="M52" s="35" t="n">
        <x:f>100*SUMIFS('Bank income'!$D$8:$D$77,'Bank income'!$A$8:$A$77,$A52,'Bank income'!$B$8:$B$77,$B52)/$C52</x:f>
        <x:v>0.18070911170415555</x:v>
      </x:c>
      <x:c r="N52" s="2"/>
    </x:row>
    <x:row r="53" ht="22" customHeight="1">
      <x:c r="A53" s="31" t="str">
        <x:v>zivno</x:v>
      </x:c>
      <x:c r="B53" s="22" t="n">
        <x:v>1933</x:v>
      </x:c>
      <x:c r="C53" s="32" t="n">
        <x:f>SUMIFS('Bank assets'!$C$8:$C$77,'Bank assets'!$A$8:$A$77,$A53,'Bank assets'!$B$8:$B$77,$B53)</x:f>
        <x:v>4904.8</x:v>
      </x:c>
      <x:c r="D53" s="32" t="n">
        <x:f>SUMIFS('Bank funding'!$C$8:$C$77,'Bank funding'!$A$8:$A$77,$A53,'Bank funding'!$B$8:$B$77,$B53)+SUMIFS('Bank funding'!$D$8:$D$77,'Bank funding'!$A$8:$A$77,$A53,'Bank funding'!$B$8:$B$77,$B53)</x:f>
        <x:v>587</x:v>
      </x:c>
      <x:c r="E53" s="32" t="n">
        <x:f>SUMIFS('Bank assets'!$H$8:$H$77,'Bank assets'!$A$8:$A$77,$A53,'Bank assets'!$B$8:$B$77,$B53)+SUMIFS('Bank assets'!$E$8:$E$77,'Bank assets'!$A$8:$A$77,$A53,'Bank assets'!$B$8:$B$77,$B53)</x:f>
        <x:v>3263.5</x:v>
      </x:c>
      <x:c r="F53" s="36" t="n">
        <x:f>100*$D53/$C53</x:f>
        <x:v>11.967868210732343</x:v>
      </x:c>
      <x:c r="G53" s="36" t="n">
        <x:f>100*$E53/$C53</x:f>
        <x:v>66.5368618496167</x:v>
      </x:c>
      <x:c r="H53" s="36" t="n">
        <x:f>100*SUMIFS('Bank assets'!$D$8:$D$77,'Bank assets'!$A$8:$A$77,$A53,'Bank assets'!$B$8:$B$77,$B53)/$C53</x:f>
        <x:v>13.509215462404175</x:v>
      </x:c>
      <x:c r="I53" s="36" t="n">
        <x:f>100*SUMIFS('Bank assets'!$F$8:$F$77,'Bank assets'!$A$8:$A$77,$A53,'Bank assets'!$B$8:$B$77,$B53)/$C53</x:f>
        <x:v>12.905725004077638</x:v>
      </x:c>
      <x:c r="J53" s="36" t="n">
        <x:f>100*SUMIFS('Bank funding'!$F$8:$F$77,'Bank funding'!$A$8:$A$77,$A53,'Bank funding'!$B$8:$B$77,$B53)/$C53</x:f>
        <x:v>44.22606426357853</x:v>
      </x:c>
      <x:c r="K53" s="36" t="n">
        <x:f>100*SUMIFS('Bank funding'!$G$8:$G$77,'Bank funding'!$A$8:$A$77,$A53,'Bank funding'!$B$8:$B$77,$B53)/$C53</x:f>
        <x:v>39.65707062469418</x:v>
      </x:c>
      <x:c r="L53" s="36" t="n">
        <x:f>100*SUMIFS('Bank income'!$C$8:$C$77,'Bank income'!$A$8:$A$77,$A53,'Bank income'!$B$8:$B$77,$B53)/$C53</x:f>
        <x:v>0.9929049094764312</x:v>
      </x:c>
      <x:c r="M53" s="36" t="n">
        <x:f>100*SUMIFS('Bank income'!$D$8:$D$77,'Bank income'!$A$8:$A$77,$A53,'Bank income'!$B$8:$B$77,$B53)/$C53</x:f>
        <x:v>0.7584407111401077</x:v>
      </x:c>
      <x:c r="N53" s="2"/>
    </x:row>
    <x:row r="54" ht="22" customHeight="1">
      <x:c r="A54" s="29" t="str">
        <x:v>zivno</x:v>
      </x:c>
      <x:c r="B54" s="19" t="n">
        <x:v>1934</x:v>
      </x:c>
      <x:c r="C54" s="30" t="n">
        <x:f>SUMIFS('Bank assets'!$C$8:$C$77,'Bank assets'!$A$8:$A$77,$A54,'Bank assets'!$B$8:$B$77,$B54)</x:f>
        <x:v>5039.1</x:v>
      </x:c>
      <x:c r="D54" s="30" t="n">
        <x:f>SUMIFS('Bank funding'!$C$8:$C$77,'Bank funding'!$A$8:$A$77,$A54,'Bank funding'!$B$8:$B$77,$B54)+SUMIFS('Bank funding'!$D$8:$D$77,'Bank funding'!$A$8:$A$77,$A54,'Bank funding'!$B$8:$B$77,$B54)</x:f>
        <x:v>588</x:v>
      </x:c>
      <x:c r="E54" s="30" t="n">
        <x:f>SUMIFS('Bank assets'!$H$8:$H$77,'Bank assets'!$A$8:$A$77,$A54,'Bank assets'!$B$8:$B$77,$B54)+SUMIFS('Bank assets'!$E$8:$E$77,'Bank assets'!$A$8:$A$77,$A54,'Bank assets'!$B$8:$B$77,$B54)</x:f>
        <x:v>3379.7</x:v>
      </x:c>
      <x:c r="F54" s="35" t="n">
        <x:f>100*$D54/$C54</x:f>
        <x:v>11.668750372090253</x:v>
      </x:c>
      <x:c r="G54" s="35" t="n">
        <x:f>100*$E54/$C54</x:f>
        <x:v>67.06951638189359</x:v>
      </x:c>
      <x:c r="H54" s="35" t="n">
        <x:f>100*SUMIFS('Bank assets'!$D$8:$D$77,'Bank assets'!$A$8:$A$77,$A54,'Bank assets'!$B$8:$B$77,$B54)/$C54</x:f>
        <x:v>12.97255462284932</x:v>
      </x:c>
      <x:c r="I54" s="35" t="n">
        <x:f>100*SUMIFS('Bank assets'!$F$8:$F$77,'Bank assets'!$A$8:$A$77,$A54,'Bank assets'!$B$8:$B$77,$B54)/$C54</x:f>
        <x:v>12.924927070310172</x:v>
      </x:c>
      <x:c r="J54" s="35" t="n">
        <x:f>100*SUMIFS('Bank funding'!$F$8:$F$77,'Bank funding'!$A$8:$A$77,$A54,'Bank funding'!$B$8:$B$77,$B54)/$C54</x:f>
        <x:v>45.63314877656724</x:v>
      </x:c>
      <x:c r="K54" s="35" t="n">
        <x:f>100*SUMIFS('Bank funding'!$G$8:$G$77,'Bank funding'!$A$8:$A$77,$A54,'Bank funding'!$B$8:$B$77,$B54)/$C54</x:f>
        <x:v>38.367962532992</x:v>
      </x:c>
      <x:c r="L54" s="35" t="n">
        <x:f>100*SUMIFS('Bank income'!$C$8:$C$77,'Bank income'!$A$8:$A$77,$A54,'Bank income'!$B$8:$B$77,$B54)/$C54</x:f>
        <x:v>0.8672183524835784</x:v>
      </x:c>
      <x:c r="M54" s="35" t="n">
        <x:f>100*SUMIFS('Bank income'!$D$8:$D$77,'Bank income'!$A$8:$A$77,$A54,'Bank income'!$B$8:$B$77,$B54)/$C54</x:f>
        <x:v>0.6965529558849795</x:v>
      </x:c>
      <x:c r="N54" s="2"/>
    </x:row>
    <x:row r="55" ht="22" customHeight="1">
      <x:c r="A55" s="31" t="str">
        <x:v>zivno</x:v>
      </x:c>
      <x:c r="B55" s="22" t="n">
        <x:v>1935</x:v>
      </x:c>
      <x:c r="C55" s="32" t="n">
        <x:f>SUMIFS('Bank assets'!$C$8:$C$77,'Bank assets'!$A$8:$A$77,$A55,'Bank assets'!$B$8:$B$77,$B55)</x:f>
        <x:v>5206.1</x:v>
      </x:c>
      <x:c r="D55" s="32" t="n">
        <x:f>SUMIFS('Bank funding'!$C$8:$C$77,'Bank funding'!$A$8:$A$77,$A55,'Bank funding'!$B$8:$B$77,$B55)+SUMIFS('Bank funding'!$D$8:$D$77,'Bank funding'!$A$8:$A$77,$A55,'Bank funding'!$B$8:$B$77,$B55)</x:f>
        <x:v>589.2</x:v>
      </x:c>
      <x:c r="E55" s="32" t="n">
        <x:f>SUMIFS('Bank assets'!$H$8:$H$77,'Bank assets'!$A$8:$A$77,$A55,'Bank assets'!$B$8:$B$77,$B55)+SUMIFS('Bank assets'!$E$8:$E$77,'Bank assets'!$A$8:$A$77,$A55,'Bank assets'!$B$8:$B$77,$B55)</x:f>
        <x:v>3483.3</x:v>
      </x:c>
      <x:c r="F55" s="36" t="n">
        <x:f>100*$D55/$C55</x:f>
        <x:v>11.31749294097309</x:v>
      </x:c>
      <x:c r="G55" s="36" t="n">
        <x:f>100*$E55/$C55</x:f>
        <x:v>66.90805017191371</x:v>
      </x:c>
      <x:c r="H55" s="36" t="n">
        <x:f>100*SUMIFS('Bank assets'!$D$8:$D$77,'Bank assets'!$A$8:$A$77,$A55,'Bank assets'!$B$8:$B$77,$B55)/$C55</x:f>
        <x:v>12.427729010199572</x:v>
      </x:c>
      <x:c r="I55" s="36" t="n">
        <x:f>100*SUMIFS('Bank assets'!$F$8:$F$77,'Bank assets'!$A$8:$A$77,$A55,'Bank assets'!$B$8:$B$77,$B55)/$C55</x:f>
        <x:v>13.624402143639191</x:v>
      </x:c>
      <x:c r="J55" s="36" t="n">
        <x:f>100*SUMIFS('Bank funding'!$F$8:$F$77,'Bank funding'!$A$8:$A$77,$A55,'Bank funding'!$B$8:$B$77,$B55)/$C55</x:f>
        <x:v>46.1151341695319</x:v>
      </x:c>
      <x:c r="K55" s="36" t="n">
        <x:f>100*SUMIFS('Bank funding'!$G$8:$G$77,'Bank funding'!$A$8:$A$77,$A55,'Bank funding'!$B$8:$B$77,$B55)/$C55</x:f>
        <x:v>37.943950365916905</x:v>
      </x:c>
      <x:c r="L55" s="36" t="n">
        <x:f>100*SUMIFS('Bank income'!$C$8:$C$77,'Bank income'!$A$8:$A$77,$A55,'Bank income'!$B$8:$B$77,$B55)/$C55</x:f>
        <x:v>0.7337546339870537</x:v>
      </x:c>
      <x:c r="M55" s="36" t="n">
        <x:f>100*SUMIFS('Bank income'!$D$8:$D$77,'Bank income'!$A$8:$A$77,$A55,'Bank income'!$B$8:$B$77,$B55)/$C55</x:f>
        <x:v>0.7068631028985227</x:v>
      </x:c>
      <x:c r="N55" s="2"/>
    </x:row>
    <x:row r="56" ht="22" customHeight="1">
      <x:c r="A56" s="29" t="str">
        <x:v>zivno</x:v>
      </x:c>
      <x:c r="B56" s="19" t="n">
        <x:v>1936</x:v>
      </x:c>
      <x:c r="C56" s="30" t="n">
        <x:f>SUMIFS('Bank assets'!$C$8:$C$77,'Bank assets'!$A$8:$A$77,$A56,'Bank assets'!$B$8:$B$77,$B56)</x:f>
        <x:v>5250.3</x:v>
      </x:c>
      <x:c r="D56" s="30" t="n">
        <x:f>SUMIFS('Bank funding'!$C$8:$C$77,'Bank funding'!$A$8:$A$77,$A56,'Bank funding'!$B$8:$B$77,$B56)+SUMIFS('Bank funding'!$D$8:$D$77,'Bank funding'!$A$8:$A$77,$A56,'Bank funding'!$B$8:$B$77,$B56)</x:f>
        <x:v>590.4</x:v>
      </x:c>
      <x:c r="E56" s="30" t="n">
        <x:f>SUMIFS('Bank assets'!$H$8:$H$77,'Bank assets'!$A$8:$A$77,$A56,'Bank assets'!$B$8:$B$77,$B56)+SUMIFS('Bank assets'!$E$8:$E$77,'Bank assets'!$A$8:$A$77,$A56,'Bank assets'!$B$8:$B$77,$B56)</x:f>
        <x:v>3626.8</x:v>
      </x:c>
      <x:c r="F56" s="35" t="n">
        <x:f>100*$D56/$C56</x:f>
        <x:v>11.24507171018799</x:v>
      </x:c>
      <x:c r="G56" s="35" t="n">
        <x:f>100*$E56/$C56</x:f>
        <x:v>69.07795745005048</x:v>
      </x:c>
      <x:c r="H56" s="35" t="n">
        <x:f>100*SUMIFS('Bank assets'!$D$8:$D$77,'Bank assets'!$A$8:$A$77,$A56,'Bank assets'!$B$8:$B$77,$B56)/$C56</x:f>
        <x:v>10.153705502542712</x:v>
      </x:c>
      <x:c r="I56" s="35" t="n">
        <x:f>100*SUMIFS('Bank assets'!$F$8:$F$77,'Bank assets'!$A$8:$A$77,$A56,'Bank assets'!$B$8:$B$77,$B56)/$C56</x:f>
        <x:v>13.768737024550978</x:v>
      </x:c>
      <x:c r="J56" s="35" t="n">
        <x:f>100*SUMIFS('Bank funding'!$F$8:$F$77,'Bank funding'!$A$8:$A$77,$A56,'Bank funding'!$B$8:$B$77,$B56)/$C56</x:f>
        <x:v>46.12498333428565</x:v>
      </x:c>
      <x:c r="K56" s="35" t="n">
        <x:f>100*SUMIFS('Bank funding'!$G$8:$G$77,'Bank funding'!$A$8:$A$77,$A56,'Bank funding'!$B$8:$B$77,$B56)/$C56</x:f>
        <x:v>38.16734281850561</x:v>
      </x:c>
      <x:c r="L56" s="35" t="n">
        <x:f>100*SUMIFS('Bank income'!$C$8:$C$77,'Bank income'!$A$8:$A$77,$A56,'Bank income'!$B$8:$B$77,$B56)/$C56</x:f>
        <x:v>0.891377635563682</x:v>
      </x:c>
      <x:c r="M56" s="35" t="n">
        <x:f>100*SUMIFS('Bank income'!$D$8:$D$77,'Bank income'!$A$8:$A$77,$A56,'Bank income'!$B$8:$B$77,$B56)/$C56</x:f>
        <x:v>0.5961564101098985</x:v>
      </x:c>
      <x:c r="N56" s="2"/>
    </x:row>
    <x:row r="57" ht="22" customHeight="1">
      <x:c r="A57" s="31" t="str">
        <x:v>zivno</x:v>
      </x:c>
      <x:c r="B57" s="22" t="n">
        <x:v>1937</x:v>
      </x:c>
      <x:c r="C57" s="32" t="n">
        <x:f>SUMIFS('Bank assets'!$C$8:$C$77,'Bank assets'!$A$8:$A$77,$A57,'Bank assets'!$B$8:$B$77,$B57)</x:f>
        <x:v>5362.3</x:v>
      </x:c>
      <x:c r="D57" s="32" t="n">
        <x:f>SUMIFS('Bank funding'!$C$8:$C$77,'Bank funding'!$A$8:$A$77,$A57,'Bank funding'!$B$8:$B$77,$B57)+SUMIFS('Bank funding'!$D$8:$D$77,'Bank funding'!$A$8:$A$77,$A57,'Bank funding'!$B$8:$B$77,$B57)</x:f>
        <x:v>591.6</x:v>
      </x:c>
      <x:c r="E57" s="32" t="n">
        <x:f>SUMIFS('Bank assets'!$H$8:$H$77,'Bank assets'!$A$8:$A$77,$A57,'Bank assets'!$B$8:$B$77,$B57)+SUMIFS('Bank assets'!$E$8:$E$77,'Bank assets'!$A$8:$A$77,$A57,'Bank assets'!$B$8:$B$77,$B57)</x:f>
        <x:v>3709.7</x:v>
      </x:c>
      <x:c r="F57" s="36" t="n">
        <x:f>100*$D57/$C57</x:f>
        <x:v>11.032579303657013</x:v>
      </x:c>
      <x:c r="G57" s="36" t="n">
        <x:f>100*$E57/$C57</x:f>
        <x:v>69.18113496074446</x:v>
      </x:c>
      <x:c r="H57" s="36" t="n">
        <x:f>100*SUMIFS('Bank assets'!$D$8:$D$77,'Bank assets'!$A$8:$A$77,$A57,'Bank assets'!$B$8:$B$77,$B57)/$C57</x:f>
        <x:v>9.510844227290528</x:v>
      </x:c>
      <x:c r="I57" s="36" t="n">
        <x:f>100*SUMIFS('Bank assets'!$F$8:$F$77,'Bank assets'!$A$8:$A$77,$A57,'Bank assets'!$B$8:$B$77,$B57)/$C57</x:f>
        <x:v>14.040616899464782</x:v>
      </x:c>
      <x:c r="J57" s="36" t="n">
        <x:f>100*SUMIFS('Bank funding'!$F$8:$F$77,'Bank funding'!$A$8:$A$77,$A57,'Bank funding'!$B$8:$B$77,$B57)/$C57</x:f>
        <x:v>46.144378345113104</x:v>
      </x:c>
      <x:c r="K57" s="36" t="n">
        <x:f>100*SUMIFS('Bank funding'!$G$8:$G$77,'Bank funding'!$A$8:$A$77,$A57,'Bank funding'!$B$8:$B$77,$B57)/$C57</x:f>
        <x:v>37.97624153814594</x:v>
      </x:c>
      <x:c r="L57" s="36" t="n">
        <x:f>100*SUMIFS('Bank income'!$C$8:$C$77,'Bank income'!$A$8:$A$77,$A57,'Bank income'!$B$8:$B$77,$B57)/$C57</x:f>
        <x:v>1.0219495365794529</x:v>
      </x:c>
      <x:c r="M57" s="36" t="n">
        <x:f>100*SUMIFS('Bank income'!$D$8:$D$77,'Bank income'!$A$8:$A$77,$A57,'Bank income'!$B$8:$B$77,$B57)/$C57</x:f>
        <x:v>0.6732185815788001</x:v>
      </x:c>
      <x:c r="N57" s="2"/>
    </x:row>
    <x:row r="58" ht="22" customHeight="1">
      <x:c r="A58" s="29" t="str">
        <x:v>anglo</x:v>
      </x:c>
      <x:c r="B58" s="19" t="n">
        <x:v>1933</x:v>
      </x:c>
      <x:c r="C58" s="30" t="n">
        <x:f>SUMIFS('Bank assets'!$C$8:$C$77,'Bank assets'!$A$8:$A$77,$A58,'Bank assets'!$B$8:$B$77,$B58)</x:f>
        <x:v>2880.8</x:v>
      </x:c>
      <x:c r="D58" s="30" t="n">
        <x:f>SUMIFS('Bank funding'!$C$8:$C$77,'Bank funding'!$A$8:$A$77,$A58,'Bank funding'!$B$8:$B$77,$B58)+SUMIFS('Bank funding'!$D$8:$D$77,'Bank funding'!$A$8:$A$77,$A58,'Bank funding'!$B$8:$B$77,$B58)</x:f>
        <x:v>138.1</x:v>
      </x:c>
      <x:c r="E58" s="30" t="n">
        <x:f>SUMIFS('Bank assets'!$H$8:$H$77,'Bank assets'!$A$8:$A$77,$A58,'Bank assets'!$B$8:$B$77,$B58)+SUMIFS('Bank assets'!$E$8:$E$77,'Bank assets'!$A$8:$A$77,$A58,'Bank assets'!$B$8:$B$77,$B58)</x:f>
        <x:v>2130.8</x:v>
      </x:c>
      <x:c r="F58" s="35" t="n">
        <x:f>100*$D58/$C58</x:f>
        <x:v>4.793807275756734</x:v>
      </x:c>
      <x:c r="G58" s="35" t="n">
        <x:f>100*$E58/$C58</x:f>
        <x:v>73.96556512079978</x:v>
      </x:c>
      <x:c r="H58" s="35" t="n">
        <x:f>100*SUMIFS('Bank assets'!$D$8:$D$77,'Bank assets'!$A$8:$A$77,$A58,'Bank assets'!$B$8:$B$77,$B58)/$C58</x:f>
        <x:v>6.411413496251041</x:v>
      </x:c>
      <x:c r="I58" s="35" t="n">
        <x:f>100*SUMIFS('Bank assets'!$F$8:$F$77,'Bank assets'!$A$8:$A$77,$A58,'Bank assets'!$B$8:$B$77,$B58)/$C58</x:f>
        <x:v>13.742710358233824</x:v>
      </x:c>
      <x:c r="J58" s="35" t="n">
        <x:f>100*SUMIFS('Bank funding'!$F$8:$F$77,'Bank funding'!$A$8:$A$77,$A58,'Bank funding'!$B$8:$B$77,$B58)/$C58</x:f>
        <x:v>31.796723132463203</x:v>
      </x:c>
      <x:c r="K58" s="35" t="n">
        <x:f>100*SUMIFS('Bank funding'!$G$8:$G$77,'Bank funding'!$A$8:$A$77,$A58,'Bank funding'!$B$8:$B$77,$B58)/$C58</x:f>
        <x:v>60.392946403776726</x:v>
      </x:c>
      <x:c r="L58" s="35" t="n">
        <x:f>100*SUMIFS('Bank income'!$C$8:$C$77,'Bank income'!$A$8:$A$77,$A58,'Bank income'!$B$8:$B$77,$B58)/$C58</x:f>
        <x:v>1.1941127464593169</x:v>
      </x:c>
      <x:c r="M58" s="35" t="n">
        <x:f>100*SUMIFS('Bank income'!$D$8:$D$77,'Bank income'!$A$8:$A$77,$A58,'Bank income'!$B$8:$B$77,$B58)/$C58</x:f>
        <x:v>0.7359066925853929</x:v>
      </x:c>
      <x:c r="N58" s="2"/>
    </x:row>
    <x:row r="59" ht="22" customHeight="1">
      <x:c r="A59" s="31" t="str">
        <x:v>anglo</x:v>
      </x:c>
      <x:c r="B59" s="22" t="n">
        <x:v>1934</x:v>
      </x:c>
      <x:c r="C59" s="32" t="n">
        <x:f>SUMIFS('Bank assets'!$C$8:$C$77,'Bank assets'!$A$8:$A$77,$A59,'Bank assets'!$B$8:$B$77,$B59)</x:f>
        <x:v>2921.5</x:v>
      </x:c>
      <x:c r="D59" s="32" t="n">
        <x:f>SUMIFS('Bank funding'!$C$8:$C$77,'Bank funding'!$A$8:$A$77,$A59,'Bank funding'!$B$8:$B$77,$B59)+SUMIFS('Bank funding'!$D$8:$D$77,'Bank funding'!$A$8:$A$77,$A59,'Bank funding'!$B$8:$B$77,$B59)</x:f>
        <x:v>138.1</x:v>
      </x:c>
      <x:c r="E59" s="32" t="n">
        <x:f>SUMIFS('Bank assets'!$H$8:$H$77,'Bank assets'!$A$8:$A$77,$A59,'Bank assets'!$B$8:$B$77,$B59)+SUMIFS('Bank assets'!$E$8:$E$77,'Bank assets'!$A$8:$A$77,$A59,'Bank assets'!$B$8:$B$77,$B59)</x:f>
        <x:v>2092.9</x:v>
      </x:c>
      <x:c r="F59" s="36" t="n">
        <x:f>100*$D59/$C59</x:f>
        <x:v>4.72702378914941</x:v>
      </x:c>
      <x:c r="G59" s="36" t="n">
        <x:f>100*$E59/$C59</x:f>
        <x:v>71.63785726510355</x:v>
      </x:c>
      <x:c r="H59" s="36" t="n">
        <x:f>100*SUMIFS('Bank assets'!$D$8:$D$77,'Bank assets'!$A$8:$A$77,$A59,'Bank assets'!$B$8:$B$77,$B59)/$C59</x:f>
        <x:v>8.399794626048262</x:v>
      </x:c>
      <x:c r="I59" s="36" t="n">
        <x:f>100*SUMIFS('Bank assets'!$F$8:$F$77,'Bank assets'!$A$8:$A$77,$A59,'Bank assets'!$B$8:$B$77,$B59)/$C59</x:f>
        <x:v>14.249529351360602</x:v>
      </x:c>
      <x:c r="J59" s="36" t="n">
        <x:f>100*SUMIFS('Bank funding'!$F$8:$F$77,'Bank funding'!$A$8:$A$77,$A59,'Bank funding'!$B$8:$B$77,$B59)/$C59</x:f>
        <x:v>33.3698442580866</x:v>
      </x:c>
      <x:c r="K59" s="36" t="n">
        <x:f>100*SUMIFS('Bank funding'!$G$8:$G$77,'Bank funding'!$A$8:$A$77,$A59,'Bank funding'!$B$8:$B$77,$B59)/$C59</x:f>
        <x:v>58.95259284614068</x:v>
      </x:c>
      <x:c r="L59" s="36" t="n">
        <x:f>100*SUMIFS('Bank income'!$C$8:$C$77,'Bank income'!$A$8:$A$77,$A59,'Bank income'!$B$8:$B$77,$B59)/$C59</x:f>
        <x:v>1.002909464316276</x:v>
      </x:c>
      <x:c r="M59" s="36" t="n">
        <x:f>100*SUMIFS('Bank income'!$D$8:$D$77,'Bank income'!$A$8:$A$77,$A59,'Bank income'!$B$8:$B$77,$B59)/$C59</x:f>
        <x:v>0.6537737463631696</x:v>
      </x:c>
      <x:c r="N59" s="2"/>
    </x:row>
    <x:row r="60" ht="22" customHeight="1">
      <x:c r="A60" s="29" t="str">
        <x:v>anglo</x:v>
      </x:c>
      <x:c r="B60" s="19" t="n">
        <x:v>1935</x:v>
      </x:c>
      <x:c r="C60" s="30" t="n">
        <x:f>SUMIFS('Bank assets'!$C$8:$C$77,'Bank assets'!$A$8:$A$77,$A60,'Bank assets'!$B$8:$B$77,$B60)</x:f>
        <x:v>3016.4</x:v>
      </x:c>
      <x:c r="D60" s="30" t="n">
        <x:f>SUMIFS('Bank funding'!$C$8:$C$77,'Bank funding'!$A$8:$A$77,$A60,'Bank funding'!$B$8:$B$77,$B60)+SUMIFS('Bank funding'!$D$8:$D$77,'Bank funding'!$A$8:$A$77,$A60,'Bank funding'!$B$8:$B$77,$B60)</x:f>
        <x:v>138.1</x:v>
      </x:c>
      <x:c r="E60" s="30" t="n">
        <x:f>SUMIFS('Bank assets'!$H$8:$H$77,'Bank assets'!$A$8:$A$77,$A60,'Bank assets'!$B$8:$B$77,$B60)+SUMIFS('Bank assets'!$E$8:$E$77,'Bank assets'!$A$8:$A$77,$A60,'Bank assets'!$B$8:$B$77,$B60)</x:f>
        <x:v>2098.2</x:v>
      </x:c>
      <x:c r="F60" s="35" t="n">
        <x:f>100*$D60/$C60</x:f>
        <x:v>4.578305264553773</x:v>
      </x:c>
      <x:c r="G60" s="35" t="n">
        <x:f>100*$E60/$C60</x:f>
        <x:v>69.55974008752153</x:v>
      </x:c>
      <x:c r="H60" s="35" t="n">
        <x:f>100*SUMIFS('Bank assets'!$D$8:$D$77,'Bank assets'!$A$8:$A$77,$A60,'Bank assets'!$B$8:$B$77,$B60)/$C60</x:f>
        <x:v>10.204216947354462</x:v>
      </x:c>
      <x:c r="I60" s="35" t="n">
        <x:f>100*SUMIFS('Bank assets'!$F$8:$F$77,'Bank assets'!$A$8:$A$77,$A60,'Bank assets'!$B$8:$B$77,$B60)/$C60</x:f>
        <x:v>14.835565574857446</x:v>
      </x:c>
      <x:c r="J60" s="35" t="n">
        <x:f>100*SUMIFS('Bank funding'!$F$8:$F$77,'Bank funding'!$A$8:$A$77,$A60,'Bank funding'!$B$8:$B$77,$B60)/$C60</x:f>
        <x:v>34.295849356849224</x:v>
      </x:c>
      <x:c r="K60" s="35" t="n">
        <x:f>100*SUMIFS('Bank funding'!$G$8:$G$77,'Bank funding'!$A$8:$A$77,$A60,'Bank funding'!$B$8:$B$77,$B60)/$C60</x:f>
        <x:v>58.261503779339606</x:v>
      </x:c>
      <x:c r="L60" s="35" t="n">
        <x:f>100*SUMIFS('Bank income'!$C$8:$C$77,'Bank income'!$A$8:$A$77,$A60,'Bank income'!$B$8:$B$77,$B60)/$C60</x:f>
        <x:v>0.9879326349290545</x:v>
      </x:c>
      <x:c r="M60" s="35" t="n">
        <x:f>100*SUMIFS('Bank income'!$D$8:$D$77,'Bank income'!$A$8:$A$77,$A60,'Bank income'!$B$8:$B$77,$B60)/$C60</x:f>
        <x:v>0.6033682535472749</x:v>
      </x:c>
      <x:c r="N60" s="2"/>
    </x:row>
    <x:row r="61" ht="22" customHeight="1">
      <x:c r="A61" s="31" t="str">
        <x:v>anglo</x:v>
      </x:c>
      <x:c r="B61" s="22" t="n">
        <x:v>1936</x:v>
      </x:c>
      <x:c r="C61" s="32" t="n">
        <x:f>SUMIFS('Bank assets'!$C$8:$C$77,'Bank assets'!$A$8:$A$77,$A61,'Bank assets'!$B$8:$B$77,$B61)</x:f>
        <x:v>3197.6</x:v>
      </x:c>
      <x:c r="D61" s="32" t="n">
        <x:f>SUMIFS('Bank funding'!$C$8:$C$77,'Bank funding'!$A$8:$A$77,$A61,'Bank funding'!$B$8:$B$77,$B61)+SUMIFS('Bank funding'!$D$8:$D$77,'Bank funding'!$A$8:$A$77,$A61,'Bank funding'!$B$8:$B$77,$B61)</x:f>
        <x:v>138.2</x:v>
      </x:c>
      <x:c r="E61" s="32" t="n">
        <x:f>SUMIFS('Bank assets'!$H$8:$H$77,'Bank assets'!$A$8:$A$77,$A61,'Bank assets'!$B$8:$B$77,$B61)+SUMIFS('Bank assets'!$E$8:$E$77,'Bank assets'!$A$8:$A$77,$A61,'Bank assets'!$B$8:$B$77,$B61)</x:f>
        <x:v>2158.7</x:v>
      </x:c>
      <x:c r="F61" s="36" t="n">
        <x:f>100*$D61/$C61</x:f>
        <x:v>4.321991493620215</x:v>
      </x:c>
      <x:c r="G61" s="36" t="n">
        <x:f>100*$E61/$C61</x:f>
        <x:v>67.51000750562922</x:v>
      </x:c>
      <x:c r="H61" s="36" t="n">
        <x:f>100*SUMIFS('Bank assets'!$D$8:$D$77,'Bank assets'!$A$8:$A$77,$A61,'Bank assets'!$B$8:$B$77,$B61)/$C61</x:f>
        <x:v>9.31948961721291</x:v>
      </x:c>
      <x:c r="I61" s="36" t="n">
        <x:f>100*SUMIFS('Bank assets'!$F$8:$F$77,'Bank assets'!$A$8:$A$77,$A61,'Bank assets'!$B$8:$B$77,$B61)/$C61</x:f>
        <x:v>15.602326745058795</x:v>
      </x:c>
      <x:c r="J61" s="36" t="n">
        <x:f>100*SUMIFS('Bank funding'!$F$8:$F$77,'Bank funding'!$A$8:$A$77,$A61,'Bank funding'!$B$8:$B$77,$B61)/$C61</x:f>
        <x:v>33.01851388541406</x:v>
      </x:c>
      <x:c r="K61" s="36" t="n">
        <x:f>100*SUMIFS('Bank funding'!$G$8:$G$77,'Bank funding'!$A$8:$A$77,$A61,'Bank funding'!$B$8:$B$77,$B61)/$C61</x:f>
        <x:v>59.919939954966225</x:v>
      </x:c>
      <x:c r="L61" s="36" t="n">
        <x:f>100*SUMIFS('Bank income'!$C$8:$C$77,'Bank income'!$A$8:$A$77,$A61,'Bank income'!$B$8:$B$77,$B61)/$C61</x:f>
        <x:v>1.0195146359769827</x:v>
      </x:c>
      <x:c r="M61" s="36" t="n">
        <x:f>100*SUMIFS('Bank income'!$D$8:$D$77,'Bank income'!$A$8:$A$77,$A61,'Bank income'!$B$8:$B$77,$B61)/$C61</x:f>
        <x:v>0.5253940455341506</x:v>
      </x:c>
      <x:c r="N61" s="2"/>
    </x:row>
    <x:row r="62" ht="22" customHeight="1">
      <x:c r="A62" s="29" t="str">
        <x:v>anglo</x:v>
      </x:c>
      <x:c r="B62" s="19" t="n">
        <x:v>1937</x:v>
      </x:c>
      <x:c r="C62" s="30" t="n">
        <x:f>SUMIFS('Bank assets'!$C$8:$C$77,'Bank assets'!$A$8:$A$77,$A62,'Bank assets'!$B$8:$B$77,$B62)</x:f>
        <x:v>3385.4</x:v>
      </x:c>
      <x:c r="D62" s="30" t="n">
        <x:f>SUMIFS('Bank funding'!$C$8:$C$77,'Bank funding'!$A$8:$A$77,$A62,'Bank funding'!$B$8:$B$77,$B62)+SUMIFS('Bank funding'!$D$8:$D$77,'Bank funding'!$A$8:$A$77,$A62,'Bank funding'!$B$8:$B$77,$B62)</x:f>
        <x:v>138.3</x:v>
      </x:c>
      <x:c r="E62" s="30" t="n">
        <x:f>SUMIFS('Bank assets'!$H$8:$H$77,'Bank assets'!$A$8:$A$77,$A62,'Bank assets'!$B$8:$B$77,$B62)+SUMIFS('Bank assets'!$E$8:$E$77,'Bank assets'!$A$8:$A$77,$A62,'Bank assets'!$B$8:$B$77,$B62)</x:f>
        <x:v>2339.7</x:v>
      </x:c>
      <x:c r="F62" s="35" t="n">
        <x:f>100*$D62/$C62</x:f>
        <x:v>4.08518934247061</x:v>
      </x:c>
      <x:c r="G62" s="35" t="n">
        <x:f>100*$E62/$C62</x:f>
        <x:v>69.11147870266437</x:v>
      </x:c>
      <x:c r="H62" s="35" t="n">
        <x:f>100*SUMIFS('Bank assets'!$D$8:$D$77,'Bank assets'!$A$8:$A$77,$A62,'Bank assets'!$B$8:$B$77,$B62)/$C62</x:f>
        <x:v>9.00041354049743</x:v>
      </x:c>
      <x:c r="I62" s="35" t="n">
        <x:f>100*SUMIFS('Bank assets'!$F$8:$F$77,'Bank assets'!$A$8:$A$77,$A62,'Bank assets'!$B$8:$B$77,$B62)/$C62</x:f>
        <x:v>15.191705559165827</x:v>
      </x:c>
      <x:c r="J62" s="35" t="n">
        <x:f>100*SUMIFS('Bank funding'!$F$8:$F$77,'Bank funding'!$A$8:$A$77,$A62,'Bank funding'!$B$8:$B$77,$B62)/$C62</x:f>
        <x:v>32.32705145625333</x:v>
      </x:c>
      <x:c r="K62" s="35" t="n">
        <x:f>100*SUMIFS('Bank funding'!$G$8:$G$77,'Bank funding'!$A$8:$A$77,$A62,'Bank funding'!$B$8:$B$77,$B62)/$C62</x:f>
        <x:v>60.84066875406155</x:v>
      </x:c>
      <x:c r="L62" s="35" t="n">
        <x:f>100*SUMIFS('Bank income'!$C$8:$C$77,'Bank income'!$A$8:$A$77,$A62,'Bank income'!$B$8:$B$77,$B62)/$C62</x:f>
        <x:v>1.0929284574939446</x:v>
      </x:c>
      <x:c r="M62" s="35" t="n">
        <x:f>100*SUMIFS('Bank income'!$D$8:$D$77,'Bank income'!$A$8:$A$77,$A62,'Bank income'!$B$8:$B$77,$B62)/$C62</x:f>
        <x:v>0.5405565073551131</x:v>
      </x:c>
      <x:c r="N62" s="2"/>
    </x:row>
    <x:row r="63" ht="22" customHeight="1">
      <x:c r="A63" s="31" t="str">
        <x:v>legio</x:v>
      </x:c>
      <x:c r="B63" s="22" t="n">
        <x:v>1933</x:v>
      </x:c>
      <x:c r="C63" s="32" t="n">
        <x:f>SUMIFS('Bank assets'!$C$8:$C$77,'Bank assets'!$A$8:$A$77,$A63,'Bank assets'!$B$8:$B$77,$B63)</x:f>
        <x:v>1235</x:v>
      </x:c>
      <x:c r="D63" s="32" t="n">
        <x:f>SUMIFS('Bank funding'!$C$8:$C$77,'Bank funding'!$A$8:$A$77,$A63,'Bank funding'!$B$8:$B$77,$B63)+SUMIFS('Bank funding'!$D$8:$D$77,'Bank funding'!$A$8:$A$77,$A63,'Bank funding'!$B$8:$B$77,$B63)</x:f>
        <x:v>135</x:v>
      </x:c>
      <x:c r="E63" s="32" t="n">
        <x:f>SUMIFS('Bank assets'!$H$8:$H$77,'Bank assets'!$A$8:$A$77,$A63,'Bank assets'!$B$8:$B$77,$B63)+SUMIFS('Bank assets'!$E$8:$E$77,'Bank assets'!$A$8:$A$77,$A63,'Bank assets'!$B$8:$B$77,$B63)</x:f>
        <x:v>875.2</x:v>
      </x:c>
      <x:c r="F63" s="36" t="n">
        <x:f>100*$D63/$C63</x:f>
        <x:v>10.931174089068826</x:v>
      </x:c>
      <x:c r="G63" s="36" t="n">
        <x:f>100*$E63/$C63</x:f>
        <x:v>70.8663967611336</x:v>
      </x:c>
      <x:c r="H63" s="36" t="n">
        <x:f>100*SUMIFS('Bank assets'!$D$8:$D$77,'Bank assets'!$A$8:$A$77,$A63,'Bank assets'!$B$8:$B$77,$B63)/$C63</x:f>
        <x:v>8.809716599190283</x:v>
      </x:c>
      <x:c r="I63" s="36" t="n">
        <x:f>100*SUMIFS('Bank assets'!$F$8:$F$77,'Bank assets'!$A$8:$A$77,$A63,'Bank assets'!$B$8:$B$77,$B63)/$C63</x:f>
        <x:v>8.259109311740891</x:v>
      </x:c>
      <x:c r="J63" s="36" t="n">
        <x:f>100*SUMIFS('Bank funding'!$F$8:$F$77,'Bank funding'!$A$8:$A$77,$A63,'Bank funding'!$B$8:$B$77,$B63)/$C63</x:f>
        <x:v>35.991902834008094</x:v>
      </x:c>
      <x:c r="K63" s="36" t="n">
        <x:f>100*SUMIFS('Bank funding'!$G$8:$G$77,'Bank funding'!$A$8:$A$77,$A63,'Bank funding'!$B$8:$B$77,$B63)/$C63</x:f>
        <x:v>47.08502024291498</x:v>
      </x:c>
      <x:c r="L63" s="36" t="n">
        <x:f>100*SUMIFS('Bank income'!$C$8:$C$77,'Bank income'!$A$8:$A$77,$A63,'Bank income'!$B$8:$B$77,$B63)/$C63</x:f>
        <x:v>1.214574898785425</x:v>
      </x:c>
      <x:c r="M63" s="36" t="n">
        <x:f>100*SUMIFS('Bank income'!$D$8:$D$77,'Bank income'!$A$8:$A$77,$A63,'Bank income'!$B$8:$B$77,$B63)/$C63</x:f>
        <x:v>0.9068825910931174</x:v>
      </x:c>
      <x:c r="N63" s="2"/>
    </x:row>
    <x:row r="64" ht="22" customHeight="1">
      <x:c r="A64" s="29" t="str">
        <x:v>legio</x:v>
      </x:c>
      <x:c r="B64" s="19" t="n">
        <x:v>1934</x:v>
      </x:c>
      <x:c r="C64" s="30" t="n">
        <x:f>SUMIFS('Bank assets'!$C$8:$C$77,'Bank assets'!$A$8:$A$77,$A64,'Bank assets'!$B$8:$B$77,$B64)</x:f>
        <x:v>1179.1</x:v>
      </x:c>
      <x:c r="D64" s="30" t="n">
        <x:f>SUMIFS('Bank funding'!$C$8:$C$77,'Bank funding'!$A$8:$A$77,$A64,'Bank funding'!$B$8:$B$77,$B64)+SUMIFS('Bank funding'!$D$8:$D$77,'Bank funding'!$A$8:$A$77,$A64,'Bank funding'!$B$8:$B$77,$B64)</x:f>
        <x:v>135</x:v>
      </x:c>
      <x:c r="E64" s="30" t="n">
        <x:f>SUMIFS('Bank assets'!$H$8:$H$77,'Bank assets'!$A$8:$A$77,$A64,'Bank assets'!$B$8:$B$77,$B64)+SUMIFS('Bank assets'!$E$8:$E$77,'Bank assets'!$A$8:$A$77,$A64,'Bank assets'!$B$8:$B$77,$B64)</x:f>
        <x:v>831.5</x:v>
      </x:c>
      <x:c r="F64" s="35" t="n">
        <x:f>100*$D64/$C64</x:f>
        <x:v>11.449410567381902</x:v>
      </x:c>
      <x:c r="G64" s="35" t="n">
        <x:f>100*$E64/$C64</x:f>
        <x:v>70.5198880502078</x:v>
      </x:c>
      <x:c r="H64" s="35" t="n">
        <x:f>100*SUMIFS('Bank assets'!$D$8:$D$77,'Bank assets'!$A$8:$A$77,$A64,'Bank assets'!$B$8:$B$77,$B64)/$C64</x:f>
        <x:v>8.353829191756425</x:v>
      </x:c>
      <x:c r="I64" s="35" t="n">
        <x:f>100*SUMIFS('Bank assets'!$F$8:$F$77,'Bank assets'!$A$8:$A$77,$A64,'Bank assets'!$B$8:$B$77,$B64)/$C64</x:f>
        <x:v>8.78636247985752</x:v>
      </x:c>
      <x:c r="J64" s="35" t="n">
        <x:f>100*SUMIFS('Bank funding'!$F$8:$F$77,'Bank funding'!$A$8:$A$77,$A64,'Bank funding'!$B$8:$B$77,$B64)/$C64</x:f>
        <x:v>39.28419981341702</x:v>
      </x:c>
      <x:c r="K64" s="35" t="n">
        <x:f>100*SUMIFS('Bank funding'!$G$8:$G$77,'Bank funding'!$A$8:$A$77,$A64,'Bank funding'!$B$8:$B$77,$B64)/$C64</x:f>
        <x:v>42.92256806038504</x:v>
      </x:c>
      <x:c r="L64" s="35" t="n">
        <x:f>100*SUMIFS('Bank income'!$C$8:$C$77,'Bank income'!$A$8:$A$77,$A64,'Bank income'!$B$8:$B$77,$B64)/$C64</x:f>
        <x:v>1.2806377745738275</x:v>
      </x:c>
      <x:c r="M64" s="35" t="n">
        <x:f>100*SUMIFS('Bank income'!$D$8:$D$77,'Bank income'!$A$8:$A$77,$A64,'Bank income'!$B$8:$B$77,$B64)/$C64</x:f>
        <x:v>0.8141803070138242</x:v>
      </x:c>
      <x:c r="N64" s="2"/>
    </x:row>
    <x:row r="65" ht="22" customHeight="1">
      <x:c r="A65" s="31" t="str">
        <x:v>legio</x:v>
      </x:c>
      <x:c r="B65" s="22" t="n">
        <x:v>1935</x:v>
      </x:c>
      <x:c r="C65" s="32" t="n">
        <x:f>SUMIFS('Bank assets'!$C$8:$C$77,'Bank assets'!$A$8:$A$77,$A65,'Bank assets'!$B$8:$B$77,$B65)</x:f>
        <x:v>1168.8</x:v>
      </x:c>
      <x:c r="D65" s="32" t="n">
        <x:f>SUMIFS('Bank funding'!$C$8:$C$77,'Bank funding'!$A$8:$A$77,$A65,'Bank funding'!$B$8:$B$77,$B65)+SUMIFS('Bank funding'!$D$8:$D$77,'Bank funding'!$A$8:$A$77,$A65,'Bank funding'!$B$8:$B$77,$B65)</x:f>
        <x:v>135</x:v>
      </x:c>
      <x:c r="E65" s="32" t="n">
        <x:f>SUMIFS('Bank assets'!$H$8:$H$77,'Bank assets'!$A$8:$A$77,$A65,'Bank assets'!$B$8:$B$77,$B65)+SUMIFS('Bank assets'!$E$8:$E$77,'Bank assets'!$A$8:$A$77,$A65,'Bank assets'!$B$8:$B$77,$B65)</x:f>
        <x:v>820.8</x:v>
      </x:c>
      <x:c r="F65" s="36" t="n">
        <x:f>100*$D65/$C65</x:f>
        <x:v>11.550308008213554</x:v>
      </x:c>
      <x:c r="G65" s="36" t="n">
        <x:f>100*$E65/$C65</x:f>
        <x:v>70.2258726899384</x:v>
      </x:c>
      <x:c r="H65" s="36" t="n">
        <x:f>100*SUMIFS('Bank assets'!$D$8:$D$77,'Bank assets'!$A$8:$A$77,$A65,'Bank assets'!$B$8:$B$77,$B65)/$C65</x:f>
        <x:v>11.618754277891856</x:v>
      </x:c>
      <x:c r="I65" s="36" t="n">
        <x:f>100*SUMIFS('Bank assets'!$F$8:$F$77,'Bank assets'!$A$8:$A$77,$A65,'Bank assets'!$B$8:$B$77,$B65)/$C65</x:f>
        <x:v>8.316221765913758</x:v>
      </x:c>
      <x:c r="J65" s="36" t="n">
        <x:f>100*SUMIFS('Bank funding'!$F$8:$F$77,'Bank funding'!$A$8:$A$77,$A65,'Bank funding'!$B$8:$B$77,$B65)/$C65</x:f>
        <x:v>42.04312114989733</x:v>
      </x:c>
      <x:c r="K65" s="36" t="n">
        <x:f>100*SUMIFS('Bank funding'!$G$8:$G$77,'Bank funding'!$A$8:$A$77,$A65,'Bank funding'!$B$8:$B$77,$B65)/$C65</x:f>
        <x:v>42.65058179329227</x:v>
      </x:c>
      <x:c r="L65" s="36" t="n">
        <x:f>100*SUMIFS('Bank income'!$C$8:$C$77,'Bank income'!$A$8:$A$77,$A65,'Bank income'!$B$8:$B$77,$B65)/$C65</x:f>
        <x:v>1.3175906913073239</x:v>
      </x:c>
      <x:c r="M65" s="36" t="n">
        <x:f>100*SUMIFS('Bank income'!$D$8:$D$77,'Bank income'!$A$8:$A$77,$A65,'Bank income'!$B$8:$B$77,$B65)/$C65</x:f>
        <x:v>0.6673511293634498</x:v>
      </x:c>
      <x:c r="N65" s="2"/>
    </x:row>
    <x:row r="66" ht="22" customHeight="1">
      <x:c r="A66" s="29" t="str">
        <x:v>legio</x:v>
      </x:c>
      <x:c r="B66" s="19" t="n">
        <x:v>1936</x:v>
      </x:c>
      <x:c r="C66" s="30" t="n">
        <x:f>SUMIFS('Bank assets'!$C$8:$C$77,'Bank assets'!$A$8:$A$77,$A66,'Bank assets'!$B$8:$B$77,$B66)</x:f>
        <x:v>1293.4</x:v>
      </x:c>
      <x:c r="D66" s="30" t="n">
        <x:f>SUMIFS('Bank funding'!$C$8:$C$77,'Bank funding'!$A$8:$A$77,$A66,'Bank funding'!$B$8:$B$77,$B66)+SUMIFS('Bank funding'!$D$8:$D$77,'Bank funding'!$A$8:$A$77,$A66,'Bank funding'!$B$8:$B$77,$B66)</x:f>
        <x:v>135</x:v>
      </x:c>
      <x:c r="E66" s="30" t="n">
        <x:f>SUMIFS('Bank assets'!$H$8:$H$77,'Bank assets'!$A$8:$A$77,$A66,'Bank assets'!$B$8:$B$77,$B66)+SUMIFS('Bank assets'!$E$8:$E$77,'Bank assets'!$A$8:$A$77,$A66,'Bank assets'!$B$8:$B$77,$B66)</x:f>
        <x:v>909.4</x:v>
      </x:c>
      <x:c r="F66" s="35" t="n">
        <x:f>100*$D66/$C66</x:f>
        <x:v>10.437606308953146</x:v>
      </x:c>
      <x:c r="G66" s="35" t="n">
        <x:f>100*$E66/$C66</x:f>
        <x:v>70.31080872119993</x:v>
      </x:c>
      <x:c r="H66" s="35" t="n">
        <x:f>100*SUMIFS('Bank assets'!$D$8:$D$77,'Bank assets'!$A$8:$A$77,$A66,'Bank assets'!$B$8:$B$77,$B66)/$C66</x:f>
        <x:v>12.432348847997526</x:v>
      </x:c>
      <x:c r="I66" s="35" t="n">
        <x:f>100*SUMIFS('Bank assets'!$F$8:$F$77,'Bank assets'!$A$8:$A$77,$A66,'Bank assets'!$B$8:$B$77,$B66)/$C66</x:f>
        <x:v>8.110406680068037</x:v>
      </x:c>
      <x:c r="J66" s="35" t="n">
        <x:f>100*SUMIFS('Bank funding'!$F$8:$F$77,'Bank funding'!$A$8:$A$77,$A66,'Bank funding'!$B$8:$B$77,$B66)/$C66</x:f>
        <x:v>39.62424617287768</x:v>
      </x:c>
      <x:c r="K66" s="35" t="n">
        <x:f>100*SUMIFS('Bank funding'!$G$8:$G$77,'Bank funding'!$A$8:$A$77,$A66,'Bank funding'!$B$8:$B$77,$B66)/$C66</x:f>
        <x:v>46.34297201175197</x:v>
      </x:c>
      <x:c r="L66" s="35" t="n">
        <x:f>100*SUMIFS('Bank income'!$C$8:$C$77,'Bank income'!$A$8:$A$77,$A66,'Bank income'!$B$8:$B$77,$B66)/$C66</x:f>
        <x:v>1.190660275243544</x:v>
      </x:c>
      <x:c r="M66" s="35" t="n">
        <x:f>100*SUMIFS('Bank income'!$D$8:$D$77,'Bank income'!$A$8:$A$77,$A66,'Bank income'!$B$8:$B$77,$B66)/$C66</x:f>
        <x:v>0.6107932580794804</x:v>
      </x:c>
      <x:c r="N66" s="2"/>
    </x:row>
    <x:row r="67" ht="22" customHeight="1">
      <x:c r="A67" s="31" t="str">
        <x:v>legio</x:v>
      </x:c>
      <x:c r="B67" s="22" t="n">
        <x:v>1937</x:v>
      </x:c>
      <x:c r="C67" s="32" t="n">
        <x:f>SUMIFS('Bank assets'!$C$8:$C$77,'Bank assets'!$A$8:$A$77,$A67,'Bank assets'!$B$8:$B$77,$B67)</x:f>
        <x:v>1295.3</x:v>
      </x:c>
      <x:c r="D67" s="32" t="n">
        <x:f>SUMIFS('Bank funding'!$C$8:$C$77,'Bank funding'!$A$8:$A$77,$A67,'Bank funding'!$B$8:$B$77,$B67)+SUMIFS('Bank funding'!$D$8:$D$77,'Bank funding'!$A$8:$A$77,$A67,'Bank funding'!$B$8:$B$77,$B67)</x:f>
        <x:v>135</x:v>
      </x:c>
      <x:c r="E67" s="32" t="n">
        <x:f>SUMIFS('Bank assets'!$H$8:$H$77,'Bank assets'!$A$8:$A$77,$A67,'Bank assets'!$B$8:$B$77,$B67)+SUMIFS('Bank assets'!$E$8:$E$77,'Bank assets'!$A$8:$A$77,$A67,'Bank assets'!$B$8:$B$77,$B67)</x:f>
        <x:v>937</x:v>
      </x:c>
      <x:c r="F67" s="36" t="n">
        <x:f>100*$D67/$C67</x:f>
        <x:v>10.422295993206207</x:v>
      </x:c>
      <x:c r="G67" s="36" t="n">
        <x:f>100*$E67/$C67</x:f>
        <x:v>72.3384544121053</x:v>
      </x:c>
      <x:c r="H67" s="36" t="n">
        <x:f>100*SUMIFS('Bank assets'!$D$8:$D$77,'Bank assets'!$A$8:$A$77,$A67,'Bank assets'!$B$8:$B$77,$B67)/$C67</x:f>
        <x:v>10.947270902493633</x:v>
      </x:c>
      <x:c r="I67" s="36" t="n">
        <x:f>100*SUMIFS('Bank assets'!$F$8:$F$77,'Bank assets'!$A$8:$A$77,$A67,'Bank assets'!$B$8:$B$77,$B67)/$C67</x:f>
        <x:v>7.395970045549294</x:v>
      </x:c>
      <x:c r="J67" s="36" t="n">
        <x:f>100*SUMIFS('Bank funding'!$F$8:$F$77,'Bank funding'!$A$8:$A$77,$A67,'Bank funding'!$B$8:$B$77,$B67)/$C67</x:f>
        <x:v>43.603798347873074</x:v>
      </x:c>
      <x:c r="K67" s="36" t="n">
        <x:f>100*SUMIFS('Bank funding'!$G$8:$G$77,'Bank funding'!$A$8:$A$77,$A67,'Bank funding'!$B$8:$B$77,$B67)/$C67</x:f>
        <x:v>42.21415888211225</x:v>
      </x:c>
      <x:c r="L67" s="36" t="n">
        <x:f>100*SUMIFS('Bank income'!$C$8:$C$77,'Bank income'!$A$8:$A$77,$A67,'Bank income'!$B$8:$B$77,$B67)/$C67</x:f>
        <x:v>1.250675519184745</x:v>
      </x:c>
      <x:c r="M67" s="36" t="n">
        <x:f>100*SUMIFS('Bank income'!$D$8:$D$77,'Bank income'!$A$8:$A$77,$A67,'Bank income'!$B$8:$B$77,$B67)/$C67</x:f>
        <x:v>0.6253377595923725</x:v>
      </x:c>
      <x:c r="N67" s="2"/>
    </x:row>
    <x:row r="68" ht="22" customHeight="1">
      <x:c r="A68" s="29" t="str">
        <x:v>deutagr</x:v>
      </x:c>
      <x:c r="B68" s="19" t="n">
        <x:v>1933</x:v>
      </x:c>
      <x:c r="C68" s="30" t="n">
        <x:f>SUMIFS('Bank assets'!$C$8:$C$77,'Bank assets'!$A$8:$A$77,$A68,'Bank assets'!$B$8:$B$77,$B68)</x:f>
        <x:v>502.2</x:v>
      </x:c>
      <x:c r="D68" s="30" t="n">
        <x:f>SUMIFS('Bank funding'!$C$8:$C$77,'Bank funding'!$A$8:$A$77,$A68,'Bank funding'!$B$8:$B$77,$B68)+SUMIFS('Bank funding'!$D$8:$D$77,'Bank funding'!$A$8:$A$77,$A68,'Bank funding'!$B$8:$B$77,$B68)</x:f>
        <x:v>55.3</x:v>
      </x:c>
      <x:c r="E68" s="30" t="n">
        <x:f>SUMIFS('Bank assets'!$H$8:$H$77,'Bank assets'!$A$8:$A$77,$A68,'Bank assets'!$B$8:$B$77,$B68)+SUMIFS('Bank assets'!$E$8:$E$77,'Bank assets'!$A$8:$A$77,$A68,'Bank assets'!$B$8:$B$77,$B68)</x:f>
        <x:v>360.2</x:v>
      </x:c>
      <x:c r="F68" s="35" t="n">
        <x:f>100*$D68/$C68</x:f>
        <x:v>11.011549183592194</x:v>
      </x:c>
      <x:c r="G68" s="35" t="n">
        <x:f>100*$E68/$C68</x:f>
        <x:v>71.72441258462764</x:v>
      </x:c>
      <x:c r="H68" s="35" t="n">
        <x:f>100*SUMIFS('Bank assets'!$D$8:$D$77,'Bank assets'!$A$8:$A$77,$A68,'Bank assets'!$B$8:$B$77,$B68)/$C68</x:f>
        <x:v>5.3365193150139385</x:v>
      </x:c>
      <x:c r="I68" s="35" t="n">
        <x:f>100*SUMIFS('Bank assets'!$F$8:$F$77,'Bank assets'!$A$8:$A$77,$A68,'Bank assets'!$B$8:$B$77,$B68)/$C68</x:f>
        <x:v>17.144563918757466</x:v>
      </x:c>
      <x:c r="J68" s="35" t="n">
        <x:f>100*SUMIFS('Bank funding'!$F$8:$F$77,'Bank funding'!$A$8:$A$77,$A68,'Bank funding'!$B$8:$B$77,$B68)/$C68</x:f>
        <x:v>29.888490641178812</x:v>
      </x:c>
      <x:c r="K68" s="35" t="n">
        <x:f>100*SUMIFS('Bank funding'!$G$8:$G$77,'Bank funding'!$A$8:$A$77,$A68,'Bank funding'!$B$8:$B$77,$B68)/$C68</x:f>
        <x:v>57.566706491437685</x:v>
      </x:c>
      <x:c r="L68" s="35" t="n">
        <x:f>100*SUMIFS('Bank income'!$C$8:$C$77,'Bank income'!$A$8:$A$77,$A68,'Bank income'!$B$8:$B$77,$B68)/$C68</x:f>
        <x:v>1.9315013938669852</x:v>
      </x:c>
      <x:c r="M68" s="35" t="n">
        <x:f>100*SUMIFS('Bank income'!$D$8:$D$77,'Bank income'!$A$8:$A$77,$A68,'Bank income'!$B$8:$B$77,$B68)/$C68</x:f>
        <x:v>0.6969334926324173</x:v>
      </x:c>
      <x:c r="N68" s="2"/>
    </x:row>
    <x:row r="69" ht="22" customHeight="1">
      <x:c r="A69" s="31" t="str">
        <x:v>deutagr</x:v>
      </x:c>
      <x:c r="B69" s="22" t="n">
        <x:v>1934</x:v>
      </x:c>
      <x:c r="C69" s="32" t="n">
        <x:f>SUMIFS('Bank assets'!$C$8:$C$77,'Bank assets'!$A$8:$A$77,$A69,'Bank assets'!$B$8:$B$77,$B69)</x:f>
        <x:v>487.4</x:v>
      </x:c>
      <x:c r="D69" s="32" t="n">
        <x:f>SUMIFS('Bank funding'!$C$8:$C$77,'Bank funding'!$A$8:$A$77,$A69,'Bank funding'!$B$8:$B$77,$B69)+SUMIFS('Bank funding'!$D$8:$D$77,'Bank funding'!$A$8:$A$77,$A69,'Bank funding'!$B$8:$B$77,$B69)</x:f>
        <x:v>55.3</x:v>
      </x:c>
      <x:c r="E69" s="32" t="n">
        <x:f>SUMIFS('Bank assets'!$H$8:$H$77,'Bank assets'!$A$8:$A$77,$A69,'Bank assets'!$B$8:$B$77,$B69)+SUMIFS('Bank assets'!$E$8:$E$77,'Bank assets'!$A$8:$A$77,$A69,'Bank assets'!$B$8:$B$77,$B69)</x:f>
        <x:v>336.6</x:v>
      </x:c>
      <x:c r="F69" s="36" t="n">
        <x:f>100*$D69/$C69</x:f>
        <x:v>11.345917111202299</x:v>
      </x:c>
      <x:c r="G69" s="36" t="n">
        <x:f>100*$E69/$C69</x:f>
        <x:v>69.0603200656545</x:v>
      </x:c>
      <x:c r="H69" s="36" t="n">
        <x:f>100*SUMIFS('Bank assets'!$D$8:$D$77,'Bank assets'!$A$8:$A$77,$A69,'Bank assets'!$B$8:$B$77,$B69)/$C69</x:f>
        <x:v>7.406647517439475</x:v>
      </x:c>
      <x:c r="I69" s="36" t="n">
        <x:f>100*SUMIFS('Bank assets'!$F$8:$F$77,'Bank assets'!$A$8:$A$77,$A69,'Bank assets'!$B$8:$B$77,$B69)/$C69</x:f>
        <x:v>17.66516208453016</x:v>
      </x:c>
      <x:c r="J69" s="36" t="n">
        <x:f>100*SUMIFS('Bank funding'!$F$8:$F$77,'Bank funding'!$A$8:$A$77,$A69,'Bank funding'!$B$8:$B$77,$B69)/$C69</x:f>
        <x:v>29.175215428805906</x:v>
      </x:c>
      <x:c r="K69" s="36" t="n">
        <x:f>100*SUMIFS('Bank funding'!$G$8:$G$77,'Bank funding'!$A$8:$A$77,$A69,'Bank funding'!$B$8:$B$77,$B69)/$C69</x:f>
        <x:v>58.247845711940904</x:v>
      </x:c>
      <x:c r="L69" s="36" t="n">
        <x:f>100*SUMIFS('Bank income'!$C$8:$C$77,'Bank income'!$A$8:$A$77,$A69,'Bank income'!$B$8:$B$77,$B69)/$C69</x:f>
        <x:v>1.8670496512105048</x:v>
      </x:c>
      <x:c r="M69" s="36" t="n">
        <x:f>100*SUMIFS('Bank income'!$D$8:$D$77,'Bank income'!$A$8:$A$77,$A69,'Bank income'!$B$8:$B$77,$B69)/$C69</x:f>
        <x:v>0.5949938448912597</x:v>
      </x:c>
      <x:c r="N69" s="2"/>
    </x:row>
    <x:row r="70" ht="22" customHeight="1">
      <x:c r="A70" s="29" t="str">
        <x:v>deutagr</x:v>
      </x:c>
      <x:c r="B70" s="19" t="n">
        <x:v>1935</x:v>
      </x:c>
      <x:c r="C70" s="30" t="n">
        <x:f>SUMIFS('Bank assets'!$C$8:$C$77,'Bank assets'!$A$8:$A$77,$A70,'Bank assets'!$B$8:$B$77,$B70)</x:f>
        <x:v>537.7</x:v>
      </x:c>
      <x:c r="D70" s="30" t="n">
        <x:f>SUMIFS('Bank funding'!$C$8:$C$77,'Bank funding'!$A$8:$A$77,$A70,'Bank funding'!$B$8:$B$77,$B70)+SUMIFS('Bank funding'!$D$8:$D$77,'Bank funding'!$A$8:$A$77,$A70,'Bank funding'!$B$8:$B$77,$B70)</x:f>
        <x:v>55.3</x:v>
      </x:c>
      <x:c r="E70" s="30" t="n">
        <x:f>SUMIFS('Bank assets'!$H$8:$H$77,'Bank assets'!$A$8:$A$77,$A70,'Bank assets'!$B$8:$B$77,$B70)+SUMIFS('Bank assets'!$E$8:$E$77,'Bank assets'!$A$8:$A$77,$A70,'Bank assets'!$B$8:$B$77,$B70)</x:f>
        <x:v>360.1</x:v>
      </x:c>
      <x:c r="F70" s="35" t="n">
        <x:f>100*$D70/$C70</x:f>
        <x:v>10.284545285475172</x:v>
      </x:c>
      <x:c r="G70" s="35" t="n">
        <x:f>100*$E70/$C70</x:f>
        <x:v>66.97042960758787</x:v>
      </x:c>
      <x:c r="H70" s="35" t="n">
        <x:f>100*SUMIFS('Bank assets'!$D$8:$D$77,'Bank assets'!$A$8:$A$77,$A70,'Bank assets'!$B$8:$B$77,$B70)/$C70</x:f>
        <x:v>7.7180583968755805</x:v>
      </x:c>
      <x:c r="I70" s="35" t="n">
        <x:f>100*SUMIFS('Bank assets'!$F$8:$F$77,'Bank assets'!$A$8:$A$77,$A70,'Bank assets'!$B$8:$B$77,$B70)/$C70</x:f>
        <x:v>20.085549562953318</x:v>
      </x:c>
      <x:c r="J70" s="35" t="n">
        <x:f>100*SUMIFS('Bank funding'!$F$8:$F$77,'Bank funding'!$A$8:$A$77,$A70,'Bank funding'!$B$8:$B$77,$B70)/$C70</x:f>
        <x:v>28.008183001673792</x:v>
      </x:c>
      <x:c r="K70" s="35" t="n">
        <x:f>100*SUMIFS('Bank funding'!$G$8:$G$77,'Bank funding'!$A$8:$A$77,$A70,'Bank funding'!$B$8:$B$77,$B70)/$C70</x:f>
        <x:v>60.498419192858464</x:v>
      </x:c>
      <x:c r="L70" s="35" t="n">
        <x:f>100*SUMIFS('Bank income'!$C$8:$C$77,'Bank income'!$A$8:$A$77,$A70,'Bank income'!$B$8:$B$77,$B70)/$C70</x:f>
        <x:v>1.7853821833736283</x:v>
      </x:c>
      <x:c r="M70" s="35" t="n">
        <x:f>100*SUMIFS('Bank income'!$D$8:$D$77,'Bank income'!$A$8:$A$77,$A70,'Bank income'!$B$8:$B$77,$B70)/$C70</x:f>
        <x:v>0.5393342012274502</x:v>
      </x:c>
      <x:c r="N70" s="2"/>
    </x:row>
    <x:row r="71" ht="22" customHeight="1">
      <x:c r="A71" s="31" t="str">
        <x:v>deutagr</x:v>
      </x:c>
      <x:c r="B71" s="22" t="n">
        <x:v>1936</x:v>
      </x:c>
      <x:c r="C71" s="32" t="n">
        <x:f>SUMIFS('Bank assets'!$C$8:$C$77,'Bank assets'!$A$8:$A$77,$A71,'Bank assets'!$B$8:$B$77,$B71)</x:f>
        <x:v>575.3</x:v>
      </x:c>
      <x:c r="D71" s="32" t="n">
        <x:f>SUMIFS('Bank funding'!$C$8:$C$77,'Bank funding'!$A$8:$A$77,$A71,'Bank funding'!$B$8:$B$77,$B71)+SUMIFS('Bank funding'!$D$8:$D$77,'Bank funding'!$A$8:$A$77,$A71,'Bank funding'!$B$8:$B$77,$B71)</x:f>
        <x:v>55.3</x:v>
      </x:c>
      <x:c r="E71" s="32" t="n">
        <x:f>SUMIFS('Bank assets'!$H$8:$H$77,'Bank assets'!$A$8:$A$77,$A71,'Bank assets'!$B$8:$B$77,$B71)+SUMIFS('Bank assets'!$E$8:$E$77,'Bank assets'!$A$8:$A$77,$A71,'Bank assets'!$B$8:$B$77,$B71)</x:f>
        <x:v>392.4</x:v>
      </x:c>
      <x:c r="F71" s="36" t="n">
        <x:f>100*$D71/$C71</x:f>
        <x:v>9.612376151573093</x:v>
      </x:c>
      <x:c r="G71" s="36" t="n">
        <x:f>100*$E71/$C71</x:f>
        <x:v>68.20789153485138</x:v>
      </x:c>
      <x:c r="H71" s="36" t="n">
        <x:f>100*SUMIFS('Bank assets'!$D$8:$D$77,'Bank assets'!$A$8:$A$77,$A71,'Bank assets'!$B$8:$B$77,$B71)/$C71</x:f>
        <x:v>8.413001912045889</x:v>
      </x:c>
      <x:c r="I71" s="36" t="n">
        <x:f>100*SUMIFS('Bank assets'!$F$8:$F$77,'Bank assets'!$A$8:$A$77,$A71,'Bank assets'!$B$8:$B$77,$B71)/$C71</x:f>
        <x:v>17.834173474708848</x:v>
      </x:c>
      <x:c r="J71" s="36" t="n">
        <x:f>100*SUMIFS('Bank funding'!$F$8:$F$77,'Bank funding'!$A$8:$A$77,$A71,'Bank funding'!$B$8:$B$77,$B71)/$C71</x:f>
        <x:v>30.05388492960195</x:v>
      </x:c>
      <x:c r="K71" s="36" t="n">
        <x:f>100*SUMIFS('Bank funding'!$G$8:$G$77,'Bank funding'!$A$8:$A$77,$A71,'Bank funding'!$B$8:$B$77,$B71)/$C71</x:f>
        <x:v>59.34295150356336</x:v>
      </x:c>
      <x:c r="L71" s="36" t="n">
        <x:f>100*SUMIFS('Bank income'!$C$8:$C$77,'Bank income'!$A$8:$A$77,$A71,'Bank income'!$B$8:$B$77,$B71)/$C71</x:f>
        <x:v>1.8946636537458719</x:v>
      </x:c>
      <x:c r="M71" s="36" t="n">
        <x:f>100*SUMIFS('Bank income'!$D$8:$D$77,'Bank income'!$A$8:$A$77,$A71,'Bank income'!$B$8:$B$77,$B71)/$C71</x:f>
        <x:v>0.5214670606640014</x:v>
      </x:c>
      <x:c r="N71" s="2"/>
    </x:row>
    <x:row r="72" ht="22" customHeight="1">
      <x:c r="A72" s="29" t="str">
        <x:v>deutagr</x:v>
      </x:c>
      <x:c r="B72" s="19" t="n">
        <x:v>1937</x:v>
      </x:c>
      <x:c r="C72" s="30" t="n">
        <x:f>SUMIFS('Bank assets'!$C$8:$C$77,'Bank assets'!$A$8:$A$77,$A72,'Bank assets'!$B$8:$B$77,$B72)</x:f>
        <x:v>620.6</x:v>
      </x:c>
      <x:c r="D72" s="30" t="n">
        <x:f>SUMIFS('Bank funding'!$C$8:$C$77,'Bank funding'!$A$8:$A$77,$A72,'Bank funding'!$B$8:$B$77,$B72)+SUMIFS('Bank funding'!$D$8:$D$77,'Bank funding'!$A$8:$A$77,$A72,'Bank funding'!$B$8:$B$77,$B72)</x:f>
        <x:v>55.4</x:v>
      </x:c>
      <x:c r="E72" s="30" t="n">
        <x:f>SUMIFS('Bank assets'!$H$8:$H$77,'Bank assets'!$A$8:$A$77,$A72,'Bank assets'!$B$8:$B$77,$B72)+SUMIFS('Bank assets'!$E$8:$E$77,'Bank assets'!$A$8:$A$77,$A72,'Bank assets'!$B$8:$B$77,$B72)</x:f>
        <x:v>388.5</x:v>
      </x:c>
      <x:c r="F72" s="35" t="n">
        <x:f>100*$D72/$C72</x:f>
        <x:v>8.926844988720593</x:v>
      </x:c>
      <x:c r="G72" s="35" t="n">
        <x:f>100*$E72/$C72</x:f>
        <x:v>62.60070899129874</x:v>
      </x:c>
      <x:c r="H72" s="35" t="n">
        <x:f>100*SUMIFS('Bank assets'!$D$8:$D$77,'Bank assets'!$A$8:$A$77,$A72,'Bank assets'!$B$8:$B$77,$B72)/$C72</x:f>
        <x:v>13.567515307766676</x:v>
      </x:c>
      <x:c r="I72" s="35" t="n">
        <x:f>100*SUMIFS('Bank assets'!$F$8:$F$77,'Bank assets'!$A$8:$A$77,$A72,'Bank assets'!$B$8:$B$77,$B72)/$C72</x:f>
        <x:v>18.51434096036094</x:v>
      </x:c>
      <x:c r="J72" s="35" t="n">
        <x:f>100*SUMIFS('Bank funding'!$F$8:$F$77,'Bank funding'!$A$8:$A$77,$A72,'Bank funding'!$B$8:$B$77,$B72)/$C72</x:f>
        <x:v>31.11504995165968</x:v>
      </x:c>
      <x:c r="K72" s="35" t="n">
        <x:f>100*SUMIFS('Bank funding'!$G$8:$G$77,'Bank funding'!$A$8:$A$77,$A72,'Bank funding'!$B$8:$B$77,$B72)/$C72</x:f>
        <x:v>59.18466000644538</x:v>
      </x:c>
      <x:c r="L72" s="35" t="n">
        <x:f>100*SUMIFS('Bank income'!$C$8:$C$77,'Bank income'!$A$8:$A$77,$A72,'Bank income'!$B$8:$B$77,$B72)/$C72</x:f>
        <x:v>1.820818562681276</x:v>
      </x:c>
      <x:c r="M72" s="35" t="n">
        <x:f>100*SUMIFS('Bank income'!$D$8:$D$77,'Bank income'!$A$8:$A$77,$A72,'Bank income'!$B$8:$B$77,$B72)/$C72</x:f>
        <x:v>0.5639703512729616</x:v>
      </x:c>
      <x:c r="N72" s="2"/>
    </x:row>
    <x:row r="73" ht="22" customHeight="1">
      <x:c r="A73" s="31" t="str">
        <x:v>vseobdruz</x:v>
      </x:c>
      <x:c r="B73" s="22" t="n">
        <x:v>1933</x:v>
      </x:c>
      <x:c r="C73" s="32" t="n">
        <x:f>SUMIFS('Bank assets'!$C$8:$C$77,'Bank assets'!$A$8:$A$77,$A73,'Bank assets'!$B$8:$B$77,$B73)</x:f>
        <x:v>171.114</x:v>
      </x:c>
      <x:c r="D73" s="32" t="n">
        <x:f>SUMIFS('Bank funding'!$C$8:$C$77,'Bank funding'!$A$8:$A$77,$A73,'Bank funding'!$B$8:$B$77,$B73)+SUMIFS('Bank funding'!$D$8:$D$77,'Bank funding'!$A$8:$A$77,$A73,'Bank funding'!$B$8:$B$77,$B73)</x:f>
        <x:v>11.036999999999999</x:v>
      </x:c>
      <x:c r="E73" s="32" t="n">
        <x:f>SUMIFS('Bank assets'!$H$8:$H$77,'Bank assets'!$A$8:$A$77,$A73,'Bank assets'!$B$8:$B$77,$B73)+SUMIFS('Bank assets'!$E$8:$E$77,'Bank assets'!$A$8:$A$77,$A73,'Bank assets'!$B$8:$B$77,$B73)</x:f>
        <x:v>110.13900000000001</x:v>
      </x:c>
      <x:c r="F73" s="36" t="n">
        <x:f>100*$D73/$C73</x:f>
        <x:v>6.450085907640519</x:v>
      </x:c>
      <x:c r="G73" s="36" t="n">
        <x:f>100*$E73/$C73</x:f>
        <x:v>64.36586135558751</x:v>
      </x:c>
      <x:c r="H73" s="36" t="n">
        <x:f>100*SUMIFS('Bank assets'!$D$8:$D$77,'Bank assets'!$A$8:$A$77,$A73,'Bank assets'!$B$8:$B$77,$B73)/$C73</x:f>
        <x:v>19.104222915717006</x:v>
      </x:c>
      <x:c r="I73" s="36" t="n">
        <x:f>100*SUMIFS('Bank assets'!$F$8:$F$77,'Bank assets'!$A$8:$A$77,$A73,'Bank assets'!$B$8:$B$77,$B73)/$C73</x:f>
        <x:v>14.053788702268662</x:v>
      </x:c>
      <x:c r="J73" s="36" t="n">
        <x:f>100*SUMIFS('Bank funding'!$F$8:$F$77,'Bank funding'!$A$8:$A$77,$A73,'Bank funding'!$B$8:$B$77,$B73)/$C73</x:f>
        <x:v>24.248746449735265</x:v>
      </x:c>
      <x:c r="K73" s="36" t="n">
        <x:f>100*SUMIFS('Bank funding'!$G$8:$G$77,'Bank funding'!$A$8:$A$77,$A73,'Bank funding'!$B$8:$B$77,$B73)/$C73</x:f>
        <x:v>64.1437871828138</x:v>
      </x:c>
      <x:c r="L73" s="36" t="n">
        <x:f>100*SUMIFS('Bank income'!$C$8:$C$77,'Bank income'!$A$8:$A$77,$A73,'Bank income'!$B$8:$B$77,$B73)/$C73</x:f>
        <x:v>1.3131596479539955</x:v>
      </x:c>
      <x:c r="M73" s="36" t="n">
        <x:f>100*SUMIFS('Bank income'!$D$8:$D$77,'Bank income'!$A$8:$A$77,$A73,'Bank income'!$B$8:$B$77,$B73)/$C73</x:f>
        <x:v>0.27350187594235426</x:v>
      </x:c>
      <x:c r="N73" s="2"/>
    </x:row>
    <x:row r="74" ht="22" customHeight="1">
      <x:c r="A74" s="29" t="str">
        <x:v>vseobdruz</x:v>
      </x:c>
      <x:c r="B74" s="19" t="n">
        <x:v>1934</x:v>
      </x:c>
      <x:c r="C74" s="30" t="n">
        <x:f>SUMIFS('Bank assets'!$C$8:$C$77,'Bank assets'!$A$8:$A$77,$A74,'Bank assets'!$B$8:$B$77,$B74)</x:f>
        <x:v>183.322</x:v>
      </x:c>
      <x:c r="D74" s="30" t="n">
        <x:f>SUMIFS('Bank funding'!$C$8:$C$77,'Bank funding'!$A$8:$A$77,$A74,'Bank funding'!$B$8:$B$77,$B74)+SUMIFS('Bank funding'!$D$8:$D$77,'Bank funding'!$A$8:$A$77,$A74,'Bank funding'!$B$8:$B$77,$B74)</x:f>
        <x:v>11.373000000000001</x:v>
      </x:c>
      <x:c r="E74" s="30" t="n">
        <x:f>SUMIFS('Bank assets'!$H$8:$H$77,'Bank assets'!$A$8:$A$77,$A74,'Bank assets'!$B$8:$B$77,$B74)+SUMIFS('Bank assets'!$E$8:$E$77,'Bank assets'!$A$8:$A$77,$A74,'Bank assets'!$B$8:$B$77,$B74)</x:f>
        <x:v>105.094</x:v>
      </x:c>
      <x:c r="F74" s="35" t="n">
        <x:f>100*$D74/$C74</x:f>
        <x:v>6.203838055443429</x:v>
      </x:c>
      <x:c r="G74" s="35" t="n">
        <x:f>100*$E74/$C74</x:f>
        <x:v>57.32754388453104</x:v>
      </x:c>
      <x:c r="H74" s="35" t="n">
        <x:f>100*SUMIFS('Bank assets'!$D$8:$D$77,'Bank assets'!$A$8:$A$77,$A74,'Bank assets'!$B$8:$B$77,$B74)/$C74</x:f>
        <x:v>25.909056196201217</x:v>
      </x:c>
      <x:c r="I74" s="35" t="n">
        <x:f>100*SUMIFS('Bank assets'!$F$8:$F$77,'Bank assets'!$A$8:$A$77,$A74,'Bank assets'!$B$8:$B$77,$B74)/$C74</x:f>
        <x:v>14.35343275766138</x:v>
      </x:c>
      <x:c r="J74" s="35" t="n">
        <x:f>100*SUMIFS('Bank funding'!$F$8:$F$77,'Bank funding'!$A$8:$A$77,$A74,'Bank funding'!$B$8:$B$77,$B74)/$C74</x:f>
        <x:v>23.660553561492893</x:v>
      </x:c>
      <x:c r="K74" s="35" t="n">
        <x:f>100*SUMIFS('Bank funding'!$G$8:$G$77,'Bank funding'!$A$8:$A$77,$A74,'Bank funding'!$B$8:$B$77,$B74)/$C74</x:f>
        <x:v>65.25567035053075</x:v>
      </x:c>
      <x:c r="L74" s="35" t="n">
        <x:f>100*SUMIFS('Bank income'!$C$8:$C$77,'Bank income'!$A$8:$A$77,$A74,'Bank income'!$B$8:$B$77,$B74)/$C74</x:f>
        <x:v>1.293898168250401</x:v>
      </x:c>
      <x:c r="M74" s="35" t="n">
        <x:f>100*SUMIFS('Bank income'!$D$8:$D$77,'Bank income'!$A$8:$A$77,$A74,'Bank income'!$B$8:$B$77,$B74)/$C74</x:f>
        <x:v>0.2629253444758403</x:v>
      </x:c>
      <x:c r="N74" s="2"/>
    </x:row>
    <x:row r="75" ht="22" customHeight="1">
      <x:c r="A75" s="31" t="str">
        <x:v>vseobdruz</x:v>
      </x:c>
      <x:c r="B75" s="22" t="n">
        <x:v>1935</x:v>
      </x:c>
      <x:c r="C75" s="32" t="n">
        <x:f>SUMIFS('Bank assets'!$C$8:$C$77,'Bank assets'!$A$8:$A$77,$A75,'Bank assets'!$B$8:$B$77,$B75)</x:f>
        <x:v>209.178</x:v>
      </x:c>
      <x:c r="D75" s="32" t="n">
        <x:f>SUMIFS('Bank funding'!$C$8:$C$77,'Bank funding'!$A$8:$A$77,$A75,'Bank funding'!$B$8:$B$77,$B75)+SUMIFS('Bank funding'!$D$8:$D$77,'Bank funding'!$A$8:$A$77,$A75,'Bank funding'!$B$8:$B$77,$B75)</x:f>
        <x:v>11.776</x:v>
      </x:c>
      <x:c r="E75" s="32" t="n">
        <x:f>SUMIFS('Bank assets'!$H$8:$H$77,'Bank assets'!$A$8:$A$77,$A75,'Bank assets'!$B$8:$B$77,$B75)+SUMIFS('Bank assets'!$E$8:$E$77,'Bank assets'!$A$8:$A$77,$A75,'Bank assets'!$B$8:$B$77,$B75)</x:f>
        <x:v>114.354</x:v>
      </x:c>
      <x:c r="F75" s="36" t="n">
        <x:f>100*$D75/$C75</x:f>
        <x:v>5.6296551262561065</x:v>
      </x:c>
      <x:c r="G75" s="36" t="n">
        <x:f>100*$E75/$C75</x:f>
        <x:v>54.66827295413476</x:v>
      </x:c>
      <x:c r="H75" s="36" t="n">
        <x:f>100*SUMIFS('Bank assets'!$D$8:$D$77,'Bank assets'!$A$8:$A$77,$A75,'Bank assets'!$B$8:$B$77,$B75)/$C75</x:f>
        <x:v>29.584373117631873</x:v>
      </x:c>
      <x:c r="I75" s="36" t="n">
        <x:f>100*SUMIFS('Bank assets'!$F$8:$F$77,'Bank assets'!$A$8:$A$77,$A75,'Bank assets'!$B$8:$B$77,$B75)/$C75</x:f>
        <x:v>14.03828318465613</x:v>
      </x:c>
      <x:c r="J75" s="36" t="n">
        <x:f>100*SUMIFS('Bank funding'!$F$8:$F$77,'Bank funding'!$A$8:$A$77,$A75,'Bank funding'!$B$8:$B$77,$B75)/$C75</x:f>
        <x:v>21.33159318857624</x:v>
      </x:c>
      <x:c r="K75" s="36" t="n">
        <x:f>100*SUMIFS('Bank funding'!$G$8:$G$77,'Bank funding'!$A$8:$A$77,$A75,'Bank funding'!$B$8:$B$77,$B75)/$C75</x:f>
        <x:v>66.40660107659505</x:v>
      </x:c>
      <x:c r="L75" s="36" t="n">
        <x:f>100*SUMIFS('Bank income'!$C$8:$C$77,'Bank income'!$A$8:$A$77,$A75,'Bank income'!$B$8:$B$77,$B75)/$C75</x:f>
        <x:v>1.241048293797627</x:v>
      </x:c>
      <x:c r="M75" s="36" t="n">
        <x:f>100*SUMIFS('Bank income'!$D$8:$D$77,'Bank income'!$A$8:$A$77,$A75,'Bank income'!$B$8:$B$77,$B75)/$C75</x:f>
        <x:v>0.2844467391408274</x:v>
      </x:c>
      <x:c r="N75" s="2"/>
    </x:row>
    <x:row r="76" ht="22" customHeight="1">
      <x:c r="A76" s="29" t="str">
        <x:v>vseobdruz</x:v>
      </x:c>
      <x:c r="B76" s="19" t="n">
        <x:v>1936</x:v>
      </x:c>
      <x:c r="C76" s="30" t="n">
        <x:f>SUMIFS('Bank assets'!$C$8:$C$77,'Bank assets'!$A$8:$A$77,$A76,'Bank assets'!$B$8:$B$77,$B76)</x:f>
        <x:v>215.952</x:v>
      </x:c>
      <x:c r="D76" s="30" t="n">
        <x:f>SUMIFS('Bank funding'!$C$8:$C$77,'Bank funding'!$A$8:$A$77,$A76,'Bank funding'!$B$8:$B$77,$B76)+SUMIFS('Bank funding'!$D$8:$D$77,'Bank funding'!$A$8:$A$77,$A76,'Bank funding'!$B$8:$B$77,$B76)</x:f>
        <x:v>12.395</x:v>
      </x:c>
      <x:c r="E76" s="30" t="n">
        <x:f>SUMIFS('Bank assets'!$H$8:$H$77,'Bank assets'!$A$8:$A$77,$A76,'Bank assets'!$B$8:$B$77,$B76)+SUMIFS('Bank assets'!$E$8:$E$77,'Bank assets'!$A$8:$A$77,$A76,'Bank assets'!$B$8:$B$77,$B76)</x:f>
        <x:v>119.407</x:v>
      </x:c>
      <x:c r="F76" s="35" t="n">
        <x:f>100*$D76/$C76</x:f>
        <x:v>5.739701415129288</x:v>
      </x:c>
      <x:c r="G76" s="35" t="n">
        <x:f>100*$E76/$C76</x:f>
        <x:v>55.29330591983403</x:v>
      </x:c>
      <x:c r="H76" s="35" t="n">
        <x:f>100*SUMIFS('Bank assets'!$D$8:$D$77,'Bank assets'!$A$8:$A$77,$A76,'Bank assets'!$B$8:$B$77,$B76)/$C76</x:f>
        <x:v>26.579054604726977</x:v>
      </x:c>
      <x:c r="I76" s="35" t="n">
        <x:f>100*SUMIFS('Bank assets'!$F$8:$F$77,'Bank assets'!$A$8:$A$77,$A76,'Bank assets'!$B$8:$B$77,$B76)/$C76</x:f>
        <x:v>16.265651626287323</x:v>
      </x:c>
      <x:c r="J76" s="35" t="n">
        <x:f>100*SUMIFS('Bank funding'!$F$8:$F$77,'Bank funding'!$A$8:$A$77,$A76,'Bank funding'!$B$8:$B$77,$B76)/$C76</x:f>
        <x:v>28.132640586797066</x:v>
      </x:c>
      <x:c r="K76" s="35" t="n">
        <x:f>100*SUMIFS('Bank funding'!$G$8:$G$77,'Bank funding'!$A$8:$A$77,$A76,'Bank funding'!$B$8:$B$77,$B76)/$C76</x:f>
        <x:v>60.04760317107506</x:v>
      </x:c>
      <x:c r="L76" s="35" t="n">
        <x:f>100*SUMIFS('Bank income'!$C$8:$C$77,'Bank income'!$A$8:$A$77,$A76,'Bank income'!$B$8:$B$77,$B76)/$C76</x:f>
        <x:v>1.586000592724309</x:v>
      </x:c>
      <x:c r="M76" s="35" t="n">
        <x:f>100*SUMIFS('Bank income'!$D$8:$D$77,'Bank income'!$A$8:$A$77,$A76,'Bank income'!$B$8:$B$77,$B76)/$C76</x:f>
        <x:v>0.3560976513299252</x:v>
      </x:c>
      <x:c r="N76" s="2"/>
    </x:row>
    <x:row r="77" ht="22" customHeight="1">
      <x:c r="A77" s="31" t="str">
        <x:v>vseobdruz</x:v>
      </x:c>
      <x:c r="B77" s="22" t="n">
        <x:v>1937</x:v>
      </x:c>
      <x:c r="C77" s="32" t="n">
        <x:f>SUMIFS('Bank assets'!$C$8:$C$77,'Bank assets'!$A$8:$A$77,$A77,'Bank assets'!$B$8:$B$77,$B77)</x:f>
        <x:v>259.915</x:v>
      </x:c>
      <x:c r="D77" s="32" t="n">
        <x:f>SUMIFS('Bank funding'!$C$8:$C$77,'Bank funding'!$A$8:$A$77,$A77,'Bank funding'!$B$8:$B$77,$B77)+SUMIFS('Bank funding'!$D$8:$D$77,'Bank funding'!$A$8:$A$77,$A77,'Bank funding'!$B$8:$B$77,$B77)</x:f>
        <x:v>18.149</x:v>
      </x:c>
      <x:c r="E77" s="32" t="n">
        <x:f>SUMIFS('Bank assets'!$H$8:$H$77,'Bank assets'!$A$8:$A$77,$A77,'Bank assets'!$B$8:$B$77,$B77)+SUMIFS('Bank assets'!$E$8:$E$77,'Bank assets'!$A$8:$A$77,$A77,'Bank assets'!$B$8:$B$77,$B77)</x:f>
        <x:v>125.142</x:v>
      </x:c>
      <x:c r="F77" s="36" t="n">
        <x:f>100*$D77/$C77</x:f>
        <x:v>6.9826674104995865</x:v>
      </x:c>
      <x:c r="G77" s="36" t="n">
        <x:f>100*$E77/$C77</x:f>
        <x:v>48.14727891810784</x:v>
      </x:c>
      <x:c r="H77" s="36" t="n">
        <x:f>100*SUMIFS('Bank assets'!$D$8:$D$77,'Bank assets'!$A$8:$A$77,$A77,'Bank assets'!$B$8:$B$77,$B77)/$C77</x:f>
        <x:v>32.002770136390744</x:v>
      </x:c>
      <x:c r="I77" s="36" t="n">
        <x:f>100*SUMIFS('Bank assets'!$F$8:$F$77,'Bank assets'!$A$8:$A$77,$A77,'Bank assets'!$B$8:$B$77,$B77)/$C77</x:f>
        <x:v>18.419868033780272</x:v>
      </x:c>
      <x:c r="J77" s="36" t="n">
        <x:f>100*SUMIFS('Bank funding'!$F$8:$F$77,'Bank funding'!$A$8:$A$77,$A77,'Bank funding'!$B$8:$B$77,$B77)/$C77</x:f>
        <x:v>24.196371890810454</x:v>
      </x:c>
      <x:c r="K77" s="36" t="n">
        <x:f>100*SUMIFS('Bank funding'!$G$8:$G$77,'Bank funding'!$A$8:$A$77,$A77,'Bank funding'!$B$8:$B$77,$B77)/$C77</x:f>
        <x:v>66.94111536463843</x:v>
      </x:c>
      <x:c r="L77" s="36" t="n">
        <x:f>100*SUMIFS('Bank income'!$C$8:$C$77,'Bank income'!$A$8:$A$77,$A77,'Bank income'!$B$8:$B$77,$B77)/$C77</x:f>
        <x:v>1.331204432218225</x:v>
      </x:c>
      <x:c r="M77" s="36" t="n">
        <x:f>100*SUMIFS('Bank income'!$D$8:$D$77,'Bank income'!$A$8:$A$77,$A77,'Bank income'!$B$8:$B$77,$B77)/$C77</x:f>
        <x:v>0.3882038358694188</x:v>
      </x:c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7e814cd11fb3488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6.670000076293945" hidden="0" customWidth="1"/>
    <x:col min="8" max="8" width="20" hidden="0" customWidth="1"/>
    <x:col min="9" max="9" width="12.779999732971191" hidden="0" customWidth="1"/>
    <x:col min="10" max="10" width="12.4399995803833" hidden="0" customWidth="1"/>
    <x:col min="11" max="11" width="38.8899993896484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Central-bank and price context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These are separate contextual populations. They are not components of the commercial-bank sample.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Central-bank amounts are nominal millions of Kč. Price-index bases and timing are identified below.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Year</x:v>
      </x:c>
      <x:c r="B7" s="16" t="str">
        <x:v>Total assets</x:v>
      </x:c>
      <x:c r="C7" s="16" t="str">
        <x:v>Notes in circulation</x:v>
      </x:c>
      <x:c r="D7" s="16" t="str">
        <x:v>Discounted bills</x:v>
      </x:c>
      <x:c r="E7" s="16" t="str">
        <x:v>Discounted securities</x:v>
      </x:c>
      <x:c r="F7" s="16" t="str">
        <x:v>Collateral advances</x:v>
      </x:c>
      <x:c r="G7" s="16" t="str">
        <x:v>Source ID</x:v>
      </x:c>
      <x:c r="H7" s="17" t="str">
        <x:v>Source pages</x:v>
      </x:c>
      <x:c r="I7" s="2"/>
      <x:c r="J7" s="2"/>
      <x:c r="K7" s="2"/>
      <x:c r="L7" s="2"/>
      <x:c r="M7" s="2"/>
      <x:c r="N7" s="2"/>
    </x:row>
    <x:row r="8" ht="22" customHeight="1">
      <x:c r="A8" s="19" t="n">
        <x:v>1929</x:v>
      </x:c>
      <x:c r="B8" s="21" t="n">
        <x:v>9646</x:v>
      </x:c>
      <x:c r="C8" s="21" t="n">
        <x:v>8230</x:v>
      </x:c>
      <x:c r="D8" s="21" t="n">
        <x:v>526</x:v>
      </x:c>
      <x:c r="E8" s="21" t="n">
        <x:v>396</x:v>
      </x:c>
      <x:c r="F8" s="21" t="n">
        <x:v>89</x:v>
      </x:c>
      <x:c r="G8" s="29" t="str">
        <x:v>LON_CB_1939</x:v>
      </x:c>
      <x:c r="H8" s="29" t="str">
        <x:v>printed47;pdf49</x:v>
      </x:c>
      <x:c r="I8" s="2"/>
      <x:c r="J8" s="2"/>
      <x:c r="K8" s="2"/>
      <x:c r="L8" s="2"/>
      <x:c r="M8" s="2"/>
      <x:c r="N8" s="2"/>
    </x:row>
    <x:row r="9" ht="22" customHeight="1">
      <x:c r="A9" s="22" t="n">
        <x:v>1930</x:v>
      </x:c>
      <x:c r="B9" s="23" t="n">
        <x:v>9198</x:v>
      </x:c>
      <x:c r="C9" s="23" t="n">
        <x:v>7824</x:v>
      </x:c>
      <x:c r="D9" s="23" t="n">
        <x:v>360</x:v>
      </x:c>
      <x:c r="E9" s="23" t="n">
        <x:v>133</x:v>
      </x:c>
      <x:c r="F9" s="23" t="n">
        <x:v>32</x:v>
      </x:c>
      <x:c r="G9" s="31" t="str">
        <x:v>LON_CB_1938</x:v>
      </x:c>
      <x:c r="H9" s="31" t="str">
        <x:v>printed61;pdf63</x:v>
      </x:c>
      <x:c r="I9" s="2"/>
      <x:c r="J9" s="2"/>
      <x:c r="K9" s="2"/>
      <x:c r="L9" s="2"/>
      <x:c r="M9" s="2"/>
      <x:c r="N9" s="2"/>
    </x:row>
    <x:row r="10" ht="22" customHeight="1">
      <x:c r="A10" s="19" t="n">
        <x:v>1931</x:v>
      </x:c>
      <x:c r="B10" s="21" t="n">
        <x:v>8770</x:v>
      </x:c>
      <x:c r="C10" s="21" t="n">
        <x:v>7679</x:v>
      </x:c>
      <x:c r="D10" s="21" t="n">
        <x:v>1682</x:v>
      </x:c>
      <x:c r="E10" s="21" t="n">
        <x:v>477</x:v>
      </x:c>
      <x:c r="F10" s="21" t="n">
        <x:v>157</x:v>
      </x:c>
      <x:c r="G10" s="29" t="str">
        <x:v>LON_CB_1939</x:v>
      </x:c>
      <x:c r="H10" s="29" t="str">
        <x:v>printed47;pdf49</x:v>
      </x:c>
      <x:c r="I10" s="2"/>
      <x:c r="J10" s="2"/>
      <x:c r="K10" s="2"/>
      <x:c r="L10" s="2"/>
      <x:c r="M10" s="2"/>
      <x:c r="N10" s="2"/>
    </x:row>
    <x:row r="11" ht="22" customHeight="1">
      <x:c r="A11" s="22" t="n">
        <x:v>1932</x:v>
      </x:c>
      <x:c r="B11" s="23" t="n">
        <x:v>7557</x:v>
      </x:c>
      <x:c r="C11" s="23" t="n">
        <x:v>6267</x:v>
      </x:c>
      <x:c r="D11" s="23" t="n">
        <x:v>1139</x:v>
      </x:c>
      <x:c r="E11" s="23" t="n">
        <x:v>200</x:v>
      </x:c>
      <x:c r="F11" s="23" t="n">
        <x:v>337</x:v>
      </x:c>
      <x:c r="G11" s="31" t="str">
        <x:v>LON_CB_1939</x:v>
      </x:c>
      <x:c r="H11" s="31" t="str">
        <x:v>printed47;pdf49</x:v>
      </x:c>
      <x:c r="I11" s="2"/>
      <x:c r="J11" s="2"/>
      <x:c r="K11" s="2"/>
      <x:c r="L11" s="2"/>
      <x:c r="M11" s="2"/>
      <x:c r="N11" s="2"/>
    </x:row>
    <x:row r="12" ht="22" customHeight="1">
      <x:c r="A12" s="19" t="n">
        <x:v>1933</x:v>
      </x:c>
      <x:c r="B12" s="21" t="n">
        <x:v>7493</x:v>
      </x:c>
      <x:c r="C12" s="21" t="n">
        <x:v>5906</x:v>
      </x:c>
      <x:c r="D12" s="21" t="n">
        <x:v>1234</x:v>
      </x:c>
      <x:c r="E12" s="21" t="n">
        <x:v>56</x:v>
      </x:c>
      <x:c r="F12" s="21" t="n">
        <x:v>461</x:v>
      </x:c>
      <x:c r="G12" s="29" t="str">
        <x:v>LON_CB_1939</x:v>
      </x:c>
      <x:c r="H12" s="29" t="str">
        <x:v>printed47;pdf49</x:v>
      </x:c>
      <x:c r="I12" s="2"/>
      <x:c r="J12" s="2"/>
      <x:c r="K12" s="2"/>
      <x:c r="L12" s="2"/>
      <x:c r="M12" s="2"/>
      <x:c r="N12" s="2"/>
    </x:row>
    <x:row r="13" ht="22" customHeight="1">
      <x:c r="A13" s="22" t="n">
        <x:v>1934</x:v>
      </x:c>
      <x:c r="B13" s="23" t="n">
        <x:v>7230</x:v>
      </x:c>
      <x:c r="C13" s="23" t="n">
        <x:v>5640</x:v>
      </x:c>
      <x:c r="D13" s="23" t="n">
        <x:v>892</x:v>
      </x:c>
      <x:c r="E13" s="23" t="n">
        <x:v>64</x:v>
      </x:c>
      <x:c r="F13" s="23" t="n">
        <x:v>422</x:v>
      </x:c>
      <x:c r="G13" s="31" t="str">
        <x:v>LON_CB_1939</x:v>
      </x:c>
      <x:c r="H13" s="31" t="str">
        <x:v>printed47;pdf49</x:v>
      </x:c>
      <x:c r="I13" s="2"/>
      <x:c r="J13" s="2"/>
      <x:c r="K13" s="2"/>
      <x:c r="L13" s="2"/>
      <x:c r="M13" s="2"/>
      <x:c r="N13" s="2"/>
    </x:row>
    <x:row r="14" ht="22" customHeight="1">
      <x:c r="A14" s="19" t="n">
        <x:v>1935</x:v>
      </x:c>
      <x:c r="B14" s="21" t="n">
        <x:v>7089</x:v>
      </x:c>
      <x:c r="C14" s="21" t="n">
        <x:v>5761</x:v>
      </x:c>
      <x:c r="D14" s="21" t="n">
        <x:v>602</x:v>
      </x:c>
      <x:c r="E14" s="21" t="n">
        <x:v>12</x:v>
      </x:c>
      <x:c r="F14" s="21" t="n">
        <x:v>731</x:v>
      </x:c>
      <x:c r="G14" s="29" t="str">
        <x:v>LON_CB_1939</x:v>
      </x:c>
      <x:c r="H14" s="29" t="str">
        <x:v>printed47;pdf49</x:v>
      </x:c>
      <x:c r="I14" s="2"/>
      <x:c r="J14" s="2"/>
      <x:c r="K14" s="2"/>
      <x:c r="L14" s="2"/>
      <x:c r="M14" s="2"/>
      <x:c r="N14" s="2"/>
    </x:row>
    <x:row r="15" ht="22" customHeight="1">
      <x:c r="A15" s="22" t="n">
        <x:v>1936</x:v>
      </x:c>
      <x:c r="B15" s="23" t="n">
        <x:v>8477</x:v>
      </x:c>
      <x:c r="C15" s="23" t="n">
        <x:v>6478</x:v>
      </x:c>
      <x:c r="D15" s="23" t="n">
        <x:v>1194</x:v>
      </x:c>
      <x:c r="E15" s="23" t="n">
        <x:v>59</x:v>
      </x:c>
      <x:c r="F15" s="23" t="n">
        <x:v>1086</x:v>
      </x:c>
      <x:c r="G15" s="31" t="str">
        <x:v>LON_CB_1939</x:v>
      </x:c>
      <x:c r="H15" s="31" t="str">
        <x:v>printed47;pdf49</x:v>
      </x:c>
      <x:c r="I15" s="2"/>
      <x:c r="J15" s="2"/>
      <x:c r="K15" s="2"/>
      <x:c r="L15" s="2"/>
      <x:c r="M15" s="2"/>
      <x:c r="N15" s="2"/>
    </x:row>
    <x:row r="16" ht="22" customHeight="1">
      <x:c r="A16" s="19" t="n">
        <x:v>1937</x:v>
      </x:c>
      <x:c r="B16" s="21" t="n">
        <x:v>8734</x:v>
      </x:c>
      <x:c r="C16" s="21" t="n">
        <x:v>6902</x:v>
      </x:c>
      <x:c r="D16" s="21" t="n">
        <x:v>1147</x:v>
      </x:c>
      <x:c r="E16" s="21" t="n">
        <x:v>203</x:v>
      </x:c>
      <x:c r="F16" s="21" t="n">
        <x:v>1284</x:v>
      </x:c>
      <x:c r="G16" s="29" t="str">
        <x:v>LON_CB_1939</x:v>
      </x:c>
      <x:c r="H16" s="29" t="str">
        <x:v>printed47;pdf49</x:v>
      </x:c>
      <x:c r="I16" s="2"/>
      <x:c r="J16" s="2"/>
      <x:c r="K16" s="2"/>
      <x:c r="L16" s="2"/>
      <x:c r="M16" s="2"/>
      <x:c r="N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39" t="str">
        <x:v>Price observations and timing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2" t="str">
        <x:v>WPI stock proxy is the following 1 January. The annual WPI uses monthly observations. CPI timing is source-specific.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48" customHeight="1">
      <x:c r="A23" s="15" t="str">
        <x:v>Year</x:v>
      </x:c>
      <x:c r="B23" s="16" t="str">
        <x:v>WPI monthly count</x:v>
      </x:c>
      <x:c r="C23" s="16" t="str">
        <x:v>WPI annual mean</x:v>
      </x:c>
      <x:c r="D23" s="16" t="str">
        <x:v>WPI 1 December</x:v>
      </x:c>
      <x:c r="E23" s="16" t="str">
        <x:v>WPI next 1 January</x:v>
      </x:c>
      <x:c r="F23" s="16" t="str">
        <x:v>WPI proxy (1929=100)</x:v>
      </x:c>
      <x:c r="G23" s="16" t="str">
        <x:v>CPI source index</x:v>
      </x:c>
      <x:c r="H23" s="16" t="str">
        <x:v>CPI (1929=100)</x:v>
      </x:c>
      <x:c r="I23" s="16" t="str">
        <x:v>WPI proxy date</x:v>
      </x:c>
      <x:c r="J23" s="16" t="str">
        <x:v>CPI workbook cell</x:v>
      </x:c>
      <x:c r="K23" s="17" t="str">
        <x:v>Source flags</x:v>
      </x:c>
      <x:c r="L23" s="2"/>
      <x:c r="M23" s="2"/>
      <x:c r="N23" s="2"/>
    </x:row>
    <x:row r="24" ht="25" customHeight="1">
      <x:c r="A24" s="19" t="n">
        <x:v>1919</x:v>
      </x:c>
      <x:c r="B24" s="21"/>
      <x:c r="C24" s="30"/>
      <x:c r="D24" s="21"/>
      <x:c r="E24" s="21"/>
      <x:c r="F24" s="30"/>
      <x:c r="G24" s="30"/>
      <x:c r="H24" s="21"/>
      <x:c r="I24" s="43"/>
      <x:c r="J24" s="29" t="str">
        <x:v>E59</x:v>
      </x:c>
      <x:c r="K24" s="41" t="str">
        <x:v>wpi_outside_frozen_extract;cpi_not_available</x:v>
      </x:c>
      <x:c r="L24" s="2"/>
      <x:c r="M24" s="2"/>
      <x:c r="N24" s="2"/>
    </x:row>
    <x:row r="25" ht="25" customHeight="1">
      <x:c r="A25" s="22" t="n">
        <x:v>1920</x:v>
      </x:c>
      <x:c r="B25" s="23"/>
      <x:c r="C25" s="32"/>
      <x:c r="D25" s="23"/>
      <x:c r="E25" s="23"/>
      <x:c r="F25" s="32"/>
      <x:c r="G25" s="32"/>
      <x:c r="H25" s="23"/>
      <x:c r="I25" s="44"/>
      <x:c r="J25" s="31" t="str">
        <x:v>E60</x:v>
      </x:c>
      <x:c r="K25" s="42" t="str">
        <x:v>wpi_outside_frozen_extract;cpi_not_available</x:v>
      </x:c>
      <x:c r="L25" s="2"/>
      <x:c r="M25" s="2"/>
      <x:c r="N25" s="2"/>
    </x:row>
    <x:row r="26" ht="25" customHeight="1">
      <x:c r="A26" s="19" t="n">
        <x:v>1921</x:v>
      </x:c>
      <x:c r="B26" s="21"/>
      <x:c r="C26" s="30"/>
      <x:c r="D26" s="21"/>
      <x:c r="E26" s="21"/>
      <x:c r="F26" s="30"/>
      <x:c r="G26" s="30"/>
      <x:c r="H26" s="21"/>
      <x:c r="I26" s="43"/>
      <x:c r="J26" s="29" t="str">
        <x:v>E61</x:v>
      </x:c>
      <x:c r="K26" s="41" t="str">
        <x:v>wpi_outside_frozen_extract;cpi_not_available</x:v>
      </x:c>
      <x:c r="L26" s="2"/>
      <x:c r="M26" s="2"/>
      <x:c r="N26" s="2"/>
    </x:row>
    <x:row r="27" ht="25" customHeight="1">
      <x:c r="A27" s="22" t="n">
        <x:v>1922</x:v>
      </x:c>
      <x:c r="B27" s="23"/>
      <x:c r="C27" s="32"/>
      <x:c r="D27" s="23"/>
      <x:c r="E27" s="23"/>
      <x:c r="F27" s="32"/>
      <x:c r="G27" s="32"/>
      <x:c r="H27" s="23"/>
      <x:c r="I27" s="44"/>
      <x:c r="J27" s="31" t="str">
        <x:v>E62</x:v>
      </x:c>
      <x:c r="K27" s="42" t="str">
        <x:v>wpi_outside_frozen_extract;cpi_not_available</x:v>
      </x:c>
      <x:c r="L27" s="2"/>
      <x:c r="M27" s="2"/>
      <x:c r="N27" s="2"/>
    </x:row>
    <x:row r="28" ht="25" customHeight="1">
      <x:c r="A28" s="19" t="n">
        <x:v>1923</x:v>
      </x:c>
      <x:c r="B28" s="21"/>
      <x:c r="C28" s="30"/>
      <x:c r="D28" s="21"/>
      <x:c r="E28" s="21"/>
      <x:c r="F28" s="30"/>
      <x:c r="G28" s="30" t="n">
        <x:v>93</x:v>
      </x:c>
      <x:c r="H28" s="21" t="n">
        <x:v>93</x:v>
      </x:c>
      <x:c r="I28" s="43"/>
      <x:c r="J28" s="29" t="str">
        <x:v>E63</x:v>
      </x:c>
      <x:c r="K28" s="41" t="str">
        <x:v>wpi_outside_frozen_extract</x:v>
      </x:c>
      <x:c r="L28" s="2"/>
      <x:c r="M28" s="2"/>
      <x:c r="N28" s="2"/>
    </x:row>
    <x:row r="29" ht="25" customHeight="1">
      <x:c r="A29" s="22" t="n">
        <x:v>1924</x:v>
      </x:c>
      <x:c r="B29" s="23"/>
      <x:c r="C29" s="32"/>
      <x:c r="D29" s="23"/>
      <x:c r="E29" s="23"/>
      <x:c r="F29" s="32"/>
      <x:c r="G29" s="32" t="n">
        <x:v>93</x:v>
      </x:c>
      <x:c r="H29" s="23" t="n">
        <x:v>93</x:v>
      </x:c>
      <x:c r="I29" s="44"/>
      <x:c r="J29" s="31" t="str">
        <x:v>E64</x:v>
      </x:c>
      <x:c r="K29" s="42" t="str">
        <x:v>wpi_outside_frozen_extract</x:v>
      </x:c>
      <x:c r="L29" s="2"/>
      <x:c r="M29" s="2"/>
      <x:c r="N29" s="2"/>
    </x:row>
    <x:row r="30" ht="25" customHeight="1">
      <x:c r="A30" s="19" t="n">
        <x:v>1925</x:v>
      </x:c>
      <x:c r="B30" s="21"/>
      <x:c r="C30" s="30"/>
      <x:c r="D30" s="21"/>
      <x:c r="E30" s="21"/>
      <x:c r="F30" s="30"/>
      <x:c r="G30" s="30" t="n">
        <x:v>97</x:v>
      </x:c>
      <x:c r="H30" s="21" t="n">
        <x:v>97</x:v>
      </x:c>
      <x:c r="I30" s="43"/>
      <x:c r="J30" s="29" t="str">
        <x:v>E65</x:v>
      </x:c>
      <x:c r="K30" s="41" t="str">
        <x:v>wpi_outside_frozen_extract</x:v>
      </x:c>
      <x:c r="L30" s="2"/>
      <x:c r="M30" s="2"/>
      <x:c r="N30" s="2"/>
    </x:row>
    <x:row r="31" ht="25" customHeight="1">
      <x:c r="A31" s="22" t="n">
        <x:v>1926</x:v>
      </x:c>
      <x:c r="B31" s="23"/>
      <x:c r="C31" s="32"/>
      <x:c r="D31" s="23"/>
      <x:c r="E31" s="23"/>
      <x:c r="F31" s="32"/>
      <x:c r="G31" s="32" t="n">
        <x:v>95.99999999999999</x:v>
      </x:c>
      <x:c r="H31" s="23" t="n">
        <x:v>96</x:v>
      </x:c>
      <x:c r="I31" s="44"/>
      <x:c r="J31" s="31" t="str">
        <x:v>E66</x:v>
      </x:c>
      <x:c r="K31" s="42" t="str">
        <x:v>wpi_outside_frozen_extract</x:v>
      </x:c>
      <x:c r="L31" s="2"/>
      <x:c r="M31" s="2"/>
      <x:c r="N31" s="2"/>
    </x:row>
    <x:row r="32" ht="25" customHeight="1">
      <x:c r="A32" s="19" t="n">
        <x:v>1927</x:v>
      </x:c>
      <x:c r="B32" s="21"/>
      <x:c r="C32" s="30"/>
      <x:c r="D32" s="21"/>
      <x:c r="E32" s="21"/>
      <x:c r="F32" s="30"/>
      <x:c r="G32" s="30" t="n">
        <x:v>100</x:v>
      </x:c>
      <x:c r="H32" s="21" t="n">
        <x:v>100</x:v>
      </x:c>
      <x:c r="I32" s="43"/>
      <x:c r="J32" s="29" t="str">
        <x:v>E67</x:v>
      </x:c>
      <x:c r="K32" s="41" t="str">
        <x:v>wpi_outside_frozen_extract</x:v>
      </x:c>
      <x:c r="L32" s="2"/>
      <x:c r="M32" s="2"/>
      <x:c r="N32" s="2"/>
    </x:row>
    <x:row r="33" ht="25" customHeight="1">
      <x:c r="A33" s="22" t="n">
        <x:v>1928</x:v>
      </x:c>
      <x:c r="B33" s="23"/>
      <x:c r="C33" s="32"/>
      <x:c r="D33" s="23"/>
      <x:c r="E33" s="23"/>
      <x:c r="F33" s="32"/>
      <x:c r="G33" s="32" t="n">
        <x:v>101</x:v>
      </x:c>
      <x:c r="H33" s="23" t="n">
        <x:v>101</x:v>
      </x:c>
      <x:c r="I33" s="44"/>
      <x:c r="J33" s="31" t="str">
        <x:v>E68</x:v>
      </x:c>
      <x:c r="K33" s="42" t="str">
        <x:v>wpi_outside_frozen_extract</x:v>
      </x:c>
      <x:c r="L33" s="2"/>
      <x:c r="M33" s="2"/>
      <x:c r="N33" s="2"/>
    </x:row>
    <x:row r="34" ht="25" customHeight="1">
      <x:c r="A34" s="19" t="n">
        <x:v>1929</x:v>
      </x:c>
      <x:c r="B34" s="21" t="n">
        <x:v>2</x:v>
      </x:c>
      <x:c r="C34" s="30"/>
      <x:c r="D34" s="21" t="n">
        <x:v>876</x:v>
      </x:c>
      <x:c r="E34" s="21" t="n">
        <x:v>862</x:v>
      </x:c>
      <x:c r="F34" s="30" t="n">
        <x:v>100</x:v>
      </x:c>
      <x:c r="G34" s="30" t="n">
        <x:v>100</x:v>
      </x:c>
      <x:c r="H34" s="21" t="n">
        <x:v>100</x:v>
      </x:c>
      <x:c r="I34" s="43" t="str">
        <x:v>1930-01-01</x:v>
      </x:c>
      <x:c r="J34" s="29" t="str">
        <x:v>E69</x:v>
      </x:c>
      <x:c r="K34" s="41" t="str">
        <x:v>wpi_incomplete_calendar_year</x:v>
      </x:c>
      <x:c r="L34" s="2"/>
      <x:c r="M34" s="2"/>
      <x:c r="N34" s="2"/>
    </x:row>
    <x:row r="35" ht="25" customHeight="1">
      <x:c r="A35" s="22" t="n">
        <x:v>1930</x:v>
      </x:c>
      <x:c r="B35" s="23" t="n">
        <x:v>12</x:v>
      </x:c>
      <x:c r="C35" s="32" t="n">
        <x:v>810.3333333333334</x:v>
      </x:c>
      <x:c r="D35" s="23" t="n">
        <x:v>759</x:v>
      </x:c>
      <x:c r="E35" s="23" t="n">
        <x:v>752</x:v>
      </x:c>
      <x:c r="F35" s="32" t="n">
        <x:v>87.23897911832947</x:v>
      </x:c>
      <x:c r="G35" s="32" t="n">
        <x:v>98</x:v>
      </x:c>
      <x:c r="H35" s="23" t="n">
        <x:v>98</x:v>
      </x:c>
      <x:c r="I35" s="44" t="str">
        <x:v>1931-01-01</x:v>
      </x:c>
      <x:c r="J35" s="31" t="str">
        <x:v>E70</x:v>
      </x:c>
      <x:c r="K35" s="42"/>
      <x:c r="L35" s="2"/>
      <x:c r="M35" s="2"/>
      <x:c r="N35" s="2"/>
    </x:row>
    <x:row r="36" ht="25" customHeight="1">
      <x:c r="A36" s="19" t="n">
        <x:v>1931</x:v>
      </x:c>
      <x:c r="B36" s="21" t="n">
        <x:v>12</x:v>
      </x:c>
      <x:c r="C36" s="30" t="n">
        <x:v>737.9166666666666</x:v>
      </x:c>
      <x:c r="D36" s="21" t="n">
        <x:v>710</x:v>
      </x:c>
      <x:c r="E36" s="21" t="n">
        <x:v>699</x:v>
      </x:c>
      <x:c r="F36" s="30" t="n">
        <x:v>81.09048723897912</x:v>
      </x:c>
      <x:c r="G36" s="30" t="n">
        <x:v>93.99999999999999</x:v>
      </x:c>
      <x:c r="H36" s="21" t="n">
        <x:v>94</x:v>
      </x:c>
      <x:c r="I36" s="43" t="str">
        <x:v>1932-01-01</x:v>
      </x:c>
      <x:c r="J36" s="29" t="str">
        <x:v>E71</x:v>
      </x:c>
      <x:c r="K36" s="41"/>
      <x:c r="L36" s="2"/>
      <x:c r="M36" s="2"/>
      <x:c r="N36" s="2"/>
    </x:row>
    <x:row r="37" ht="25" customHeight="1">
      <x:c r="A37" s="22" t="n">
        <x:v>1932</x:v>
      </x:c>
      <x:c r="B37" s="23" t="n">
        <x:v>12</x:v>
      </x:c>
      <x:c r="C37" s="32" t="n">
        <x:v>681.5</x:v>
      </x:c>
      <x:c r="D37" s="23" t="n">
        <x:v>677</x:v>
      </x:c>
      <x:c r="E37" s="23" t="n">
        <x:v>661</x:v>
      </x:c>
      <x:c r="F37" s="32" t="n">
        <x:v>76.68213457076565</x:v>
      </x:c>
      <x:c r="G37" s="32" t="n">
        <x:v>91.99999999999999</x:v>
      </x:c>
      <x:c r="H37" s="23" t="n">
        <x:v>92</x:v>
      </x:c>
      <x:c r="I37" s="44" t="str">
        <x:v>1933-01-01</x:v>
      </x:c>
      <x:c r="J37" s="31" t="str">
        <x:v>E72</x:v>
      </x:c>
      <x:c r="K37" s="42"/>
      <x:c r="L37" s="2"/>
      <x:c r="M37" s="2"/>
      <x:c r="N37" s="2"/>
    </x:row>
    <x:row r="38" ht="25" customHeight="1">
      <x:c r="A38" s="19" t="n">
        <x:v>1933</x:v>
      </x:c>
      <x:c r="B38" s="21" t="n">
        <x:v>12</x:v>
      </x:c>
      <x:c r="C38" s="30" t="n">
        <x:v>659.25</x:v>
      </x:c>
      <x:c r="D38" s="21" t="n">
        <x:v>650</x:v>
      </x:c>
      <x:c r="E38" s="21" t="n">
        <x:v>647</x:v>
      </x:c>
      <x:c r="F38" s="30" t="n">
        <x:v>75.05800464037122</x:v>
      </x:c>
      <x:c r="G38" s="30" t="n">
        <x:v>90.99999999999999</x:v>
      </x:c>
      <x:c r="H38" s="21" t="n">
        <x:v>91</x:v>
      </x:c>
      <x:c r="I38" s="43" t="str">
        <x:v>1934-01-01</x:v>
      </x:c>
      <x:c r="J38" s="29" t="str">
        <x:v>E73</x:v>
      </x:c>
      <x:c r="K38" s="41"/>
      <x:c r="L38" s="2"/>
      <x:c r="M38" s="2"/>
      <x:c r="N38" s="2"/>
    </x:row>
    <x:row r="39" ht="25" customHeight="1">
      <x:c r="A39" s="22" t="n">
        <x:v>1934</x:v>
      </x:c>
      <x:c r="B39" s="23" t="n">
        <x:v>12</x:v>
      </x:c>
      <x:c r="C39" s="32" t="n">
        <x:v>673.6666666666666</x:v>
      </x:c>
      <x:c r="D39" s="23" t="n">
        <x:v>691</x:v>
      </x:c>
      <x:c r="E39" s="23" t="n">
        <x:v>694</x:v>
      </x:c>
      <x:c r="F39" s="32" t="n">
        <x:v>80.51044083526682</x:v>
      </x:c>
      <x:c r="G39" s="32" t="n">
        <x:v>89.99999999999999</x:v>
      </x:c>
      <x:c r="H39" s="23" t="n">
        <x:v>90</x:v>
      </x:c>
      <x:c r="I39" s="44" t="str">
        <x:v>1935-01-01</x:v>
      </x:c>
      <x:c r="J39" s="31" t="str">
        <x:v>E74</x:v>
      </x:c>
      <x:c r="K39" s="42"/>
      <x:c r="L39" s="2"/>
      <x:c r="M39" s="2"/>
      <x:c r="N39" s="2"/>
    </x:row>
    <x:row r="40" ht="25" customHeight="1">
      <x:c r="A40" s="19" t="n">
        <x:v>1935</x:v>
      </x:c>
      <x:c r="B40" s="21" t="n">
        <x:v>12</x:v>
      </x:c>
      <x:c r="C40" s="30" t="n">
        <x:v>704.0833333333334</x:v>
      </x:c>
      <x:c r="D40" s="21" t="n">
        <x:v>707</x:v>
      </x:c>
      <x:c r="E40" s="21" t="n">
        <x:v>711</x:v>
      </x:c>
      <x:c r="F40" s="30" t="n">
        <x:v>82.48259860788863</x:v>
      </x:c>
      <x:c r="G40" s="30" t="n">
        <x:v>92.99999999999999</x:v>
      </x:c>
      <x:c r="H40" s="21" t="n">
        <x:v>93</x:v>
      </x:c>
      <x:c r="I40" s="43" t="str">
        <x:v>1936-01-01</x:v>
      </x:c>
      <x:c r="J40" s="29" t="str">
        <x:v>E75</x:v>
      </x:c>
      <x:c r="K40" s="41"/>
      <x:c r="L40" s="2"/>
      <x:c r="M40" s="2"/>
      <x:c r="N40" s="2"/>
    </x:row>
    <x:row r="41" ht="25" customHeight="1">
      <x:c r="A41" s="22" t="n">
        <x:v>1936</x:v>
      </x:c>
      <x:c r="B41" s="23" t="n">
        <x:v>12</x:v>
      </x:c>
      <x:c r="C41" s="32" t="n">
        <x:v>704.1666666666666</x:v>
      </x:c>
      <x:c r="D41" s="23" t="n">
        <x:v>722</x:v>
      </x:c>
      <x:c r="E41" s="23" t="n">
        <x:v>737</x:v>
      </x:c>
      <x:c r="F41" s="32" t="n">
        <x:v>85.49883990719258</x:v>
      </x:c>
      <x:c r="G41" s="32" t="n">
        <x:v>93.99999999999999</x:v>
      </x:c>
      <x:c r="H41" s="23" t="n">
        <x:v>94</x:v>
      </x:c>
      <x:c r="I41" s="44" t="str">
        <x:v>1937-01-01</x:v>
      </x:c>
      <x:c r="J41" s="31" t="str">
        <x:v>E76</x:v>
      </x:c>
      <x:c r="K41" s="42"/>
      <x:c r="L41" s="2"/>
      <x:c r="M41" s="2"/>
      <x:c r="N41" s="2"/>
    </x:row>
    <x:row r="42" ht="25" customHeight="1">
      <x:c r="A42" s="19" t="n">
        <x:v>1937</x:v>
      </x:c>
      <x:c r="B42" s="21" t="n">
        <x:v>12</x:v>
      </x:c>
      <x:c r="C42" s="30" t="n">
        <x:v>750.75</x:v>
      </x:c>
      <x:c r="D42" s="21" t="n">
        <x:v>732</x:v>
      </x:c>
      <x:c r="E42" s="21" t="n">
        <x:v>733</x:v>
      </x:c>
      <x:c r="F42" s="30" t="n">
        <x:v>85.03480278422273</x:v>
      </x:c>
      <x:c r="G42" s="30" t="n">
        <x:v>94.99999999999999</x:v>
      </x:c>
      <x:c r="H42" s="21" t="n">
        <x:v>95</x:v>
      </x:c>
      <x:c r="I42" s="43" t="str">
        <x:v>1938-01-01</x:v>
      </x:c>
      <x:c r="J42" s="29" t="str">
        <x:v>E77</x:v>
      </x:c>
      <x:c r="K42" s="41"/>
      <x:c r="L42" s="2"/>
      <x:c r="M42" s="2"/>
      <x:c r="N42" s="2"/>
    </x:row>
    <x:row r="43" ht="25" customHeight="1">
      <x:c r="A43" s="22" t="n">
        <x:v>1938</x:v>
      </x:c>
      <x:c r="B43" s="23" t="n">
        <x:v>9</x:v>
      </x:c>
      <x:c r="C43" s="32"/>
      <x:c r="D43" s="23"/>
      <x:c r="E43" s="23"/>
      <x:c r="F43" s="32"/>
      <x:c r="G43" s="32" t="n">
        <x:v>98.99999999999999</x:v>
      </x:c>
      <x:c r="H43" s="23" t="n">
        <x:v>99</x:v>
      </x:c>
      <x:c r="I43" s="44"/>
      <x:c r="J43" s="31" t="str">
        <x:v>E78</x:v>
      </x:c>
      <x:c r="K43" s="42" t="str">
        <x:v>wpi_incomplete_calendar_year</x:v>
      </x:c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2">
    <x:tablePart xmlns:r="http://schemas.openxmlformats.org/officeDocument/2006/relationships" r:id="R43da1c0063c44179"/>
    <x:tablePart xmlns:r="http://schemas.openxmlformats.org/officeDocument/2006/relationships" r:id="R54920da2e92f4e5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.220001220703125" hidden="0" customWidth="1"/>
    <x:col min="2" max="2" width="43.33000183105469" hidden="0" customWidth="1"/>
    <x:col min="3" max="3" width="31.110000610351562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32.22000122070312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Institutions and the 1929 national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Fourteen handbook institutions have counterparts in the 1929 national roster. The dated comparison is separate from 1933–1937 coverage.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Stable bank IDs are used throughout the workbook. National amounts below retain the source unit: thousand Kč.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Bank ID</x:v>
      </x:c>
      <x:c r="B7" s="16" t="str">
        <x:v>Handbook institution</x:v>
      </x:c>
      <x:c r="C7" s="17" t="str">
        <x:v>Population ID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9" t="str">
        <x:v>agrarni</x:v>
      </x:c>
      <x:c r="B8" s="29" t="str">
        <x:v>Agrární banka československá</x:v>
      </x:c>
      <x:c r="C8" s="29" t="str">
        <x:v>handbook_fourteen_bank_cohort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31" t="str">
        <x:v>lander</x:v>
      </x:c>
      <x:c r="B9" s="31" t="str">
        <x:v>Banka pro obchod a průmysl dříve Länderbanka</x:v>
      </x:c>
      <x:c r="C9" s="31" t="str">
        <x:v>handbook_fourteen_bank_cohort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9" t="str">
        <x:v>ceska</x:v>
      </x:c>
      <x:c r="B10" s="29" t="str">
        <x:v>Česká banka v Praze</x:v>
      </x:c>
      <x:c r="C10" s="29" t="str">
        <x:v>handbook_fourteen_bank_cohort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31" t="str">
        <x:v>union</x:v>
      </x:c>
      <x:c r="B11" s="31" t="str">
        <x:v>Česká banka Union</x:v>
      </x:c>
      <x:c r="C11" s="31" t="str">
        <x:v>handbook_fourteen_bank_cohort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9" t="str">
        <x:v>escomp</x:v>
      </x:c>
      <x:c r="B12" s="29" t="str">
        <x:v>Česká eskomptní banka a úvěrní ústav</x:v>
      </x:c>
      <x:c r="C12" s="29" t="str">
        <x:v>handbook_fourteen_bank_cohort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2" customHeight="1">
      <x:c r="A13" s="31" t="str">
        <x:v>prumyslova</x:v>
      </x:c>
      <x:c r="B13" s="31" t="str">
        <x:v>Česká průmyslová banka</x:v>
      </x:c>
      <x:c r="C13" s="31" t="str">
        <x:v>handbook_fourteen_bank_cohort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29" t="str">
        <x:v>moravska</x:v>
      </x:c>
      <x:c r="B14" s="29" t="str">
        <x:v>Moravská banka</x:v>
      </x:c>
      <x:c r="C14" s="29" t="str">
        <x:v>handbook_fourteen_bank_cohort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31" t="str">
        <x:v>plzenska</x:v>
      </x:c>
      <x:c r="B15" s="31" t="str">
        <x:v>Plzeňská banka</x:v>
      </x:c>
      <x:c r="C15" s="31" t="str">
        <x:v>handbook_fourteen_bank_cohort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9" t="str">
        <x:v>sporobanka</x:v>
      </x:c>
      <x:c r="B16" s="29" t="str">
        <x:v>Ústřední banka československých spořitelen</x:v>
      </x:c>
      <x:c r="C16" s="29" t="str">
        <x:v>handbook_fourteen_bank_cohort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31" t="str">
        <x:v>zivno</x:v>
      </x:c>
      <x:c r="B17" s="31" t="str">
        <x:v>Živnostenská banka</x:v>
      </x:c>
      <x:c r="C17" s="31" t="str">
        <x:v>handbook_fourteen_bank_cohort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9" t="str">
        <x:v>anglo</x:v>
      </x:c>
      <x:c r="B18" s="29" t="str">
        <x:v>Anglo-československá a Pražská úvěrní banka</x:v>
      </x:c>
      <x:c r="C18" s="29" t="str">
        <x:v>handbook_fourteen_bank_cohort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31" t="str">
        <x:v>legio</x:v>
      </x:c>
      <x:c r="B19" s="31" t="str">
        <x:v>Banka československých legií</x:v>
      </x:c>
      <x:c r="C19" s="31" t="str">
        <x:v>handbook_fourteen_bank_cohort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9" t="str">
        <x:v>deutagr</x:v>
      </x:c>
      <x:c r="B20" s="29" t="str">
        <x:v>Deutsche Agrar- und Industriebank</x:v>
      </x:c>
      <x:c r="C20" s="29" t="str">
        <x:v>handbook_fourteen_bank_cohort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31" t="str">
        <x:v>vseobdruz</x:v>
      </x:c>
      <x:c r="B21" s="31" t="str">
        <x:v>Všeobecná družstevní banka</x:v>
      </x:c>
      <x:c r="C21" s="31" t="str">
        <x:v>handbook_fourteen_bank_cohort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0" customHeight="1">
      <x:c r="A24" s="39" t="str">
        <x:v>Dated coverage controls, 1929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48" customHeight="1">
      <x:c r="A26" s="15" t="str">
        <x:v>Measure</x:v>
      </x:c>
      <x:c r="B26" s="16" t="str">
        <x:v>Unit</x:v>
      </x:c>
      <x:c r="C26" s="16" t="str">
        <x:v>National 22</x:v>
      </x:c>
      <x:c r="D26" s="16" t="str">
        <x:v>Matched 14</x:v>
      </x:c>
      <x:c r="E26" s="16" t="str">
        <x:v>Other 8</x:v>
      </x:c>
      <x:c r="F26" s="17" t="str">
        <x:v>Matched share (%)</x:v>
      </x:c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9" t="str">
        <x:v>Institutions</x:v>
      </x:c>
      <x:c r="B27" s="29" t="str">
        <x:v>institution_count</x:v>
      </x:c>
      <x:c r="C27" s="30" t="n">
        <x:v>22</x:v>
      </x:c>
      <x:c r="D27" s="30" t="n">
        <x:v>14</x:v>
      </x:c>
      <x:c r="E27" s="30" t="n">
        <x:v>8</x:v>
      </x:c>
      <x:c r="F27" s="35" t="n">
        <x:v>63.63636363636363</x:v>
      </x:c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31" t="str">
        <x:v>Paid capital</x:v>
      </x:c>
      <x:c r="B28" s="31" t="str">
        <x:v>million_kc_nominal</x:v>
      </x:c>
      <x:c r="C28" s="32" t="n">
        <x:v>1844.6</x:v>
      </x:c>
      <x:c r="D28" s="32" t="n">
        <x:v>1790</x:v>
      </x:c>
      <x:c r="E28" s="32" t="n">
        <x:v>54.6</x:v>
      </x:c>
      <x:c r="F28" s="36" t="n">
        <x:v>97.04000867396725</x:v>
      </x:c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9" t="str">
        <x:v>Loss-covering reserves</x:v>
      </x:c>
      <x:c r="B29" s="29" t="str">
        <x:v>million_kc_nominal</x:v>
      </x:c>
      <x:c r="C29" s="30" t="n">
        <x:v>1382.203</x:v>
      </x:c>
      <x:c r="D29" s="30" t="n">
        <x:v>1355.838</x:v>
      </x:c>
      <x:c r="E29" s="30" t="n">
        <x:v>26.365</x:v>
      </x:c>
      <x:c r="F29" s="35" t="n">
        <x:v>98.09253778207687</x:v>
      </x:c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31" t="str">
        <x:v>Paid capital plus loss-covering reserves</x:v>
      </x:c>
      <x:c r="B30" s="31" t="str">
        <x:v>million_kc_nominal</x:v>
      </x:c>
      <x:c r="C30" s="32" t="n">
        <x:v>3226.803</x:v>
      </x:c>
      <x:c r="D30" s="32" t="n">
        <x:v>3145.838</x:v>
      </x:c>
      <x:c r="E30" s="32" t="n">
        <x:v>80.965</x:v>
      </x:c>
      <x:c r="F30" s="36" t="n">
        <x:v>97.4908601485743</x:v>
      </x:c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9" t="str">
        <x:v>Book and cash-certificate deposits</x:v>
      </x:c>
      <x:c r="B31" s="29" t="str">
        <x:v>million_kc_nominal</x:v>
      </x:c>
      <x:c r="C31" s="30" t="n">
        <x:v>8927.082</x:v>
      </x:c>
      <x:c r="D31" s="30" t="n">
        <x:v>8694.807</x:v>
      </x:c>
      <x:c r="E31" s="30" t="n">
        <x:v>232.275</x:v>
      </x:c>
      <x:c r="F31" s="35" t="n">
        <x:v>97.39808595910735</x:v>
      </x:c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31" t="str">
        <x:v>General creditors</x:v>
      </x:c>
      <x:c r="B32" s="31" t="str">
        <x:v>million_kc_nominal</x:v>
      </x:c>
      <x:c r="C32" s="32" t="n">
        <x:v>17491.957</x:v>
      </x:c>
      <x:c r="D32" s="32" t="n">
        <x:v>16677.975</x:v>
      </x:c>
      <x:c r="E32" s="32" t="n">
        <x:v>813.982</x:v>
      </x:c>
      <x:c r="F32" s="36" t="n">
        <x:v>95.34653555345466</x:v>
      </x:c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9" t="str">
        <x:v>Own-issued bonds and debentures</x:v>
      </x:c>
      <x:c r="B33" s="29" t="str">
        <x:v>million_kc_nominal</x:v>
      </x:c>
      <x:c r="C33" s="30" t="n">
        <x:v>268.236</x:v>
      </x:c>
      <x:c r="D33" s="30" t="n">
        <x:v>101.268</x:v>
      </x:c>
      <x:c r="E33" s="30" t="n">
        <x:v>166.968</x:v>
      </x:c>
      <x:c r="F33" s="35" t="n">
        <x:v>37.753321701785</x:v>
      </x:c>
      <x:c r="G33" s="2"/>
      <x:c r="H33" s="2"/>
      <x:c r="I33" s="2"/>
      <x:c r="J33" s="2"/>
      <x:c r="K33" s="2"/>
      <x:c r="L33" s="2"/>
      <x:c r="M33" s="2"/>
      <x:c r="N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0" customHeight="1">
      <x:c r="A36" s="39" t="str">
        <x:v>National roster and institution links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0" customHeight="1">
      <x:c r="A37" s="2" t="str">
        <x:v>Printed dashes in the accepted national transcription are coded zero. Absence from the panel does not itself establish failure or exit.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48" customHeight="1">
      <x:c r="A39" s="15" t="str">
        <x:v>National ID</x:v>
      </x:c>
      <x:c r="B39" s="16" t="str">
        <x:v>National institution</x:v>
      </x:c>
      <x:c r="C39" s="16" t="str">
        <x:v>Headquarters</x:v>
      </x:c>
      <x:c r="D39" s="16" t="str">
        <x:v>Panel member</x:v>
      </x:c>
      <x:c r="E39" s="16" t="str">
        <x:v>Panel bank ID</x:v>
      </x:c>
      <x:c r="F39" s="16" t="str">
        <x:v>Paid capital (000 Kč)</x:v>
      </x:c>
      <x:c r="G39" s="16" t="str">
        <x:v>Reserves (000 Kč)</x:v>
      </x:c>
      <x:c r="H39" s="16" t="str">
        <x:v>Deposits (000 Kč)</x:v>
      </x:c>
      <x:c r="I39" s="16" t="str">
        <x:v>Creditors (000 Kč)</x:v>
      </x:c>
      <x:c r="J39" s="16" t="str">
        <x:v>Own bonds (000 Kč)</x:v>
      </x:c>
      <x:c r="K39" s="17" t="str">
        <x:v>Identity match</x:v>
      </x:c>
      <x:c r="L39" s="2"/>
      <x:c r="M39" s="2"/>
      <x:c r="N39" s="2"/>
    </x:row>
    <x:row r="40" ht="25" customHeight="1">
      <x:c r="A40" s="29" t="str">
        <x:v>AGR</x:v>
      </x:c>
      <x:c r="B40" s="41" t="str">
        <x:v>Agrární banka československá</x:v>
      </x:c>
      <x:c r="C40" s="29" t="str">
        <x:v>Praha</x:v>
      </x:c>
      <x:c r="D40" s="26" t="b">
        <x:v>1</x:v>
      </x:c>
      <x:c r="E40" s="29" t="str">
        <x:v>agrarni</x:v>
      </x:c>
      <x:c r="F40" s="21" t="n">
        <x:v>60000</x:v>
      </x:c>
      <x:c r="G40" s="21" t="n">
        <x:v>30102</x:v>
      </x:c>
      <x:c r="H40" s="21" t="n">
        <x:v>164259</x:v>
      </x:c>
      <x:c r="I40" s="21" t="n">
        <x:v>644398</x:v>
      </x:c>
      <x:c r="J40" s="21" t="n">
        <x:v>0</x:v>
      </x:c>
      <x:c r="K40" s="41" t="str">
        <x:v>exact_canonical_name</x:v>
      </x:c>
      <x:c r="L40" s="2"/>
      <x:c r="M40" s="2"/>
      <x:c r="N40" s="2"/>
    </x:row>
    <x:row r="41" ht="25" customHeight="1">
      <x:c r="A41" s="31" t="str">
        <x:v>ANG</x:v>
      </x:c>
      <x:c r="B41" s="42" t="str">
        <x:v>Anglo-československá a Pražská úvěrní banka</x:v>
      </x:c>
      <x:c r="C41" s="31" t="str">
        <x:v>Praha</x:v>
      </x:c>
      <x:c r="D41" s="27" t="b">
        <x:v>1</x:v>
      </x:c>
      <x:c r="E41" s="31" t="str">
        <x:v>anglo</x:v>
      </x:c>
      <x:c r="F41" s="23" t="n">
        <x:v>235000</x:v>
      </x:c>
      <x:c r="G41" s="23" t="n">
        <x:v>139777</x:v>
      </x:c>
      <x:c r="H41" s="23" t="n">
        <x:v>1314552</x:v>
      </x:c>
      <x:c r="I41" s="23" t="n">
        <x:v>2689079</x:v>
      </x:c>
      <x:c r="J41" s="23" t="n">
        <x:v>0</x:v>
      </x:c>
      <x:c r="K41" s="42" t="str">
        <x:v>exact_canonical_name</x:v>
      </x:c>
      <x:c r="L41" s="2"/>
      <x:c r="M41" s="2"/>
      <x:c r="N41" s="2"/>
    </x:row>
    <x:row r="42" ht="25" customHeight="1">
      <x:c r="A42" s="29" t="str">
        <x:v>LEG</x:v>
      </x:c>
      <x:c r="B42" s="41" t="str">
        <x:v>Banka československých legií</x:v>
      </x:c>
      <x:c r="C42" s="29" t="str">
        <x:v>Praha</x:v>
      </x:c>
      <x:c r="D42" s="26" t="b">
        <x:v>1</x:v>
      </x:c>
      <x:c r="E42" s="29" t="str">
        <x:v>legio</x:v>
      </x:c>
      <x:c r="F42" s="21" t="n">
        <x:v>70000</x:v>
      </x:c>
      <x:c r="G42" s="21" t="n">
        <x:v>63736</x:v>
      </x:c>
      <x:c r="H42" s="21" t="n">
        <x:v>292490</x:v>
      </x:c>
      <x:c r="I42" s="21" t="n">
        <x:v>557490</x:v>
      </x:c>
      <x:c r="J42" s="21" t="n">
        <x:v>0</x:v>
      </x:c>
      <x:c r="K42" s="41" t="str">
        <x:v>exact_canonical_name</x:v>
      </x:c>
      <x:c r="L42" s="2"/>
      <x:c r="M42" s="2"/>
      <x:c r="N42" s="2"/>
    </x:row>
    <x:row r="43" ht="25" customHeight="1">
      <x:c r="A43" s="31" t="str">
        <x:v>LAN</x:v>
      </x:c>
      <x:c r="B43" s="42" t="str">
        <x:v>Banka pro obchod a průmysl dříve Länderbanka</x:v>
      </x:c>
      <x:c r="C43" s="31" t="str">
        <x:v>Praha</x:v>
      </x:c>
      <x:c r="D43" s="27" t="b">
        <x:v>1</x:v>
      </x:c>
      <x:c r="E43" s="31" t="str">
        <x:v>lander</x:v>
      </x:c>
      <x:c r="F43" s="23" t="n">
        <x:v>160000</x:v>
      </x:c>
      <x:c r="G43" s="23" t="n">
        <x:v>102480</x:v>
      </x:c>
      <x:c r="H43" s="23" t="n">
        <x:v>438184</x:v>
      </x:c>
      <x:c r="I43" s="23" t="n">
        <x:v>1399443</x:v>
      </x:c>
      <x:c r="J43" s="23" t="n">
        <x:v>0</x:v>
      </x:c>
      <x:c r="K43" s="42" t="str">
        <x:v>exact_canonical_name</x:v>
      </x:c>
      <x:c r="L43" s="2"/>
      <x:c r="M43" s="2"/>
      <x:c r="N43" s="2"/>
    </x:row>
    <x:row r="44" ht="25" customHeight="1">
      <x:c r="A44" s="29" t="str">
        <x:v>CEN</x:v>
      </x:c>
      <x:c r="B44" s="41" t="str">
        <x:v>Centralbank der deutschen Sparkassen in der Čechoslov. Republik</x:v>
      </x:c>
      <x:c r="C44" s="29" t="str">
        <x:v>Praha</x:v>
      </x:c>
      <x:c r="D44" s="26" t="b">
        <x:v>0</x:v>
      </x:c>
      <x:c r="E44" s="29"/>
      <x:c r="F44" s="21" t="n">
        <x:v>30000</x:v>
      </x:c>
      <x:c r="G44" s="21" t="n">
        <x:v>10780</x:v>
      </x:c>
      <x:c r="H44" s="21" t="n">
        <x:v>179108</x:v>
      </x:c>
      <x:c r="I44" s="21" t="n">
        <x:v>672024</x:v>
      </x:c>
      <x:c r="J44" s="21" t="n">
        <x:v>160508</x:v>
      </x:c>
      <x:c r="K44" s="41" t="str">
        <x:v>unmatched_separate_national_institution</x:v>
      </x:c>
      <x:c r="L44" s="2"/>
      <x:c r="M44" s="2"/>
      <x:c r="N44" s="2"/>
    </x:row>
    <x:row r="45" ht="25" customHeight="1">
      <x:c r="A45" s="31" t="str">
        <x:v>CEB</x:v>
      </x:c>
      <x:c r="B45" s="42" t="str">
        <x:v>Česká banka</x:v>
      </x:c>
      <x:c r="C45" s="31" t="str">
        <x:v>Praha</x:v>
      </x:c>
      <x:c r="D45" s="27" t="b">
        <x:v>1</x:v>
      </x:c>
      <x:c r="E45" s="31" t="str">
        <x:v>ceska</x:v>
      </x:c>
      <x:c r="F45" s="23" t="n">
        <x:v>60000</x:v>
      </x:c>
      <x:c r="G45" s="23" t="n">
        <x:v>20934</x:v>
      </x:c>
      <x:c r="H45" s="23" t="n">
        <x:v>182241</x:v>
      </x:c>
      <x:c r="I45" s="23" t="n">
        <x:v>361585</x:v>
      </x:c>
      <x:c r="J45" s="23" t="n">
        <x:v>0</x:v>
      </x:c>
      <x:c r="K45" s="42" t="str">
        <x:v>geographic_name_qualifier</x:v>
      </x:c>
      <x:c r="L45" s="2"/>
      <x:c r="M45" s="2"/>
      <x:c r="N45" s="2"/>
    </x:row>
    <x:row r="46" ht="25" customHeight="1">
      <x:c r="A46" s="29" t="str">
        <x:v>UNI</x:v>
      </x:c>
      <x:c r="B46" s="41" t="str">
        <x:v>Česká banka Union</x:v>
      </x:c>
      <x:c r="C46" s="29" t="str">
        <x:v>Praha</x:v>
      </x:c>
      <x:c r="D46" s="26" t="b">
        <x:v>1</x:v>
      </x:c>
      <x:c r="E46" s="29" t="str">
        <x:v>union</x:v>
      </x:c>
      <x:c r="F46" s="21" t="n">
        <x:v>200000</x:v>
      </x:c>
      <x:c r="G46" s="21" t="n">
        <x:v>187350</x:v>
      </x:c>
      <x:c r="H46" s="21" t="n">
        <x:v>1456658</x:v>
      </x:c>
      <x:c r="I46" s="21" t="n">
        <x:v>2182296</x:v>
      </x:c>
      <x:c r="J46" s="21" t="n">
        <x:v>0</x:v>
      </x:c>
      <x:c r="K46" s="41" t="str">
        <x:v>exact_canonical_name</x:v>
      </x:c>
      <x:c r="L46" s="2"/>
      <x:c r="M46" s="2"/>
      <x:c r="N46" s="2"/>
    </x:row>
    <x:row r="47" ht="25" customHeight="1">
      <x:c r="A47" s="31" t="str">
        <x:v>ESC</x:v>
      </x:c>
      <x:c r="B47" s="42" t="str">
        <x:v>Česká eskomptní banka a úvěrní ústav</x:v>
      </x:c>
      <x:c r="C47" s="31" t="str">
        <x:v>Praha</x:v>
      </x:c>
      <x:c r="D47" s="27" t="b">
        <x:v>1</x:v>
      </x:c>
      <x:c r="E47" s="31" t="str">
        <x:v>escomp</x:v>
      </x:c>
      <x:c r="F47" s="23" t="n">
        <x:v>250000</x:v>
      </x:c>
      <x:c r="G47" s="23" t="n">
        <x:v>245830</x:v>
      </x:c>
      <x:c r="H47" s="23" t="n">
        <x:v>1062158</x:v>
      </x:c>
      <x:c r="I47" s="23" t="n">
        <x:v>2650558</x:v>
      </x:c>
      <x:c r="J47" s="23" t="n">
        <x:v>0</x:v>
      </x:c>
      <x:c r="K47" s="42" t="str">
        <x:v>exact_canonical_name</x:v>
      </x:c>
      <x:c r="L47" s="2"/>
      <x:c r="M47" s="2"/>
      <x:c r="N47" s="2"/>
    </x:row>
    <x:row r="48" ht="25" customHeight="1">
      <x:c r="A48" s="29" t="str">
        <x:v>PRU</x:v>
      </x:c>
      <x:c r="B48" s="41" t="str">
        <x:v>Česká průmyslová banka</x:v>
      </x:c>
      <x:c r="C48" s="29" t="str">
        <x:v>Praha</x:v>
      </x:c>
      <x:c r="D48" s="26" t="b">
        <x:v>1</x:v>
      </x:c>
      <x:c r="E48" s="29" t="str">
        <x:v>prumyslova</x:v>
      </x:c>
      <x:c r="F48" s="21" t="n">
        <x:v>210000</x:v>
      </x:c>
      <x:c r="G48" s="21" t="n">
        <x:v>71222</x:v>
      </x:c>
      <x:c r="H48" s="21" t="n">
        <x:v>786537</x:v>
      </x:c>
      <x:c r="I48" s="21" t="n">
        <x:v>1257891</x:v>
      </x:c>
      <x:c r="J48" s="21" t="n">
        <x:v>18070</x:v>
      </x:c>
      <x:c r="K48" s="41" t="str">
        <x:v>exact_canonical_name</x:v>
      </x:c>
      <x:c r="L48" s="2"/>
      <x:c r="M48" s="2"/>
      <x:c r="N48" s="2"/>
    </x:row>
    <x:row r="49" ht="25" customHeight="1">
      <x:c r="A49" s="31" t="str">
        <x:v>DIS</x:v>
      </x:c>
      <x:c r="B49" s="42" t="str">
        <x:v>Československá diskontní banka</x:v>
      </x:c>
      <x:c r="C49" s="31" t="str">
        <x:v>Praha</x:v>
      </x:c>
      <x:c r="D49" s="27" t="b">
        <x:v>0</x:v>
      </x:c>
      <x:c r="E49" s="31"/>
      <x:c r="F49" s="23" t="n">
        <x:v>10000</x:v>
      </x:c>
      <x:c r="G49" s="23" t="n">
        <x:v>2539</x:v>
      </x:c>
      <x:c r="H49" s="23" t="n">
        <x:v>11669</x:v>
      </x:c>
      <x:c r="I49" s="23" t="n">
        <x:v>34313</x:v>
      </x:c>
      <x:c r="J49" s="23" t="n">
        <x:v>0</x:v>
      </x:c>
      <x:c r="K49" s="42" t="str">
        <x:v>unmatched_separate_national_institution</x:v>
      </x:c>
      <x:c r="L49" s="2"/>
      <x:c r="M49" s="2"/>
      <x:c r="N49" s="2"/>
    </x:row>
    <x:row r="50" ht="25" customHeight="1">
      <x:c r="A50" s="29" t="str">
        <x:v>OBCH</x:v>
      </x:c>
      <x:c r="B50" s="41" t="str">
        <x:v>Československá obchodní banka</x:v>
      </x:c>
      <x:c r="C50" s="29" t="str">
        <x:v>Praha</x:v>
      </x:c>
      <x:c r="D50" s="26" t="b">
        <x:v>0</x:v>
      </x:c>
      <x:c r="E50" s="29"/>
      <x:c r="F50" s="21" t="n">
        <x:v>4500</x:v>
      </x:c>
      <x:c r="G50" s="21" t="n">
        <x:v>1967</x:v>
      </x:c>
      <x:c r="H50" s="21" t="n">
        <x:v>5524</x:v>
      </x:c>
      <x:c r="I50" s="21" t="n">
        <x:v>30148</x:v>
      </x:c>
      <x:c r="J50" s="21" t="n">
        <x:v>0</x:v>
      </x:c>
      <x:c r="K50" s="41" t="str">
        <x:v>unmatched_separate_national_institution</x:v>
      </x:c>
      <x:c r="L50" s="2"/>
      <x:c r="M50" s="2"/>
      <x:c r="N50" s="2"/>
    </x:row>
    <x:row r="51" ht="25" customHeight="1">
      <x:c r="A51" s="31" t="str">
        <x:v>HYP</x:v>
      </x:c>
      <x:c r="B51" s="42" t="str">
        <x:v>Český akciový hypoteční ústav</x:v>
      </x:c>
      <x:c r="C51" s="31" t="str">
        <x:v>Praha</x:v>
      </x:c>
      <x:c r="D51" s="27" t="b">
        <x:v>0</x:v>
      </x:c>
      <x:c r="E51" s="31"/>
      <x:c r="F51" s="23" t="n">
        <x:v>1000</x:v>
      </x:c>
      <x:c r="G51" s="23" t="n">
        <x:v>162</x:v>
      </x:c>
      <x:c r="H51" s="23" t="n">
        <x:v>0</x:v>
      </x:c>
      <x:c r="I51" s="23" t="n">
        <x:v>135</x:v>
      </x:c>
      <x:c r="J51" s="23" t="n">
        <x:v>6460</x:v>
      </x:c>
      <x:c r="K51" s="42" t="str">
        <x:v>unmatched_separate_national_institution</x:v>
      </x:c>
      <x:c r="L51" s="2"/>
      <x:c r="M51" s="2"/>
      <x:c r="N51" s="2"/>
    </x:row>
    <x:row r="52" ht="25" customHeight="1">
      <x:c r="A52" s="29" t="str">
        <x:v>DAI</x:v>
      </x:c>
      <x:c r="B52" s="41" t="str">
        <x:v>Deutsche Agrar- und Industriebank</x:v>
      </x:c>
      <x:c r="C52" s="29" t="str">
        <x:v>Praha</x:v>
      </x:c>
      <x:c r="D52" s="26" t="b">
        <x:v>1</x:v>
      </x:c>
      <x:c r="E52" s="29" t="str">
        <x:v>deutagr</x:v>
      </x:c>
      <x:c r="F52" s="21" t="n">
        <x:v>60000</x:v>
      </x:c>
      <x:c r="G52" s="21" t="n">
        <x:v>12905</x:v>
      </x:c>
      <x:c r="H52" s="21" t="n">
        <x:v>260711</x:v>
      </x:c>
      <x:c r="I52" s="21" t="n">
        <x:v>424917</x:v>
      </x:c>
      <x:c r="J52" s="21" t="n">
        <x:v>0</x:v>
      </x:c>
      <x:c r="K52" s="41" t="str">
        <x:v>exact_canonical_name</x:v>
      </x:c>
      <x:c r="L52" s="2"/>
      <x:c r="M52" s="2"/>
      <x:c r="N52" s="2"/>
    </x:row>
    <x:row r="53" ht="25" customHeight="1">
      <x:c r="A53" s="31" t="str">
        <x:v>SUC</x:v>
      </x:c>
      <x:c r="B53" s="42" t="str">
        <x:v>Pražská súčtovací banka</x:v>
      </x:c>
      <x:c r="C53" s="31" t="str">
        <x:v>Praha</x:v>
      </x:c>
      <x:c r="D53" s="27" t="b">
        <x:v>0</x:v>
      </x:c>
      <x:c r="E53" s="31"/>
      <x:c r="F53" s="23" t="n">
        <x:v>2000</x:v>
      </x:c>
      <x:c r="G53" s="23" t="n">
        <x:v>5346</x:v>
      </x:c>
      <x:c r="H53" s="23" t="n">
        <x:v>0</x:v>
      </x:c>
      <x:c r="I53" s="23" t="n">
        <x:v>47674</x:v>
      </x:c>
      <x:c r="J53" s="23" t="n">
        <x:v>0</x:v>
      </x:c>
      <x:c r="K53" s="42" t="str">
        <x:v>unmatched_separate_national_institution</x:v>
      </x:c>
      <x:c r="L53" s="2"/>
      <x:c r="M53" s="2"/>
      <x:c r="N53" s="2"/>
    </x:row>
    <x:row r="54" ht="25" customHeight="1">
      <x:c r="A54" s="29" t="str">
        <x:v>USP</x:v>
      </x:c>
      <x:c r="B54" s="41" t="str">
        <x:v>Ústřední banka českých spořitelen</x:v>
      </x:c>
      <x:c r="C54" s="29" t="str">
        <x:v>Praha</x:v>
      </x:c>
      <x:c r="D54" s="26" t="b">
        <x:v>1</x:v>
      </x:c>
      <x:c r="E54" s="29" t="str">
        <x:v>sporobanka</x:v>
      </x:c>
      <x:c r="F54" s="21" t="n">
        <x:v>50000</x:v>
      </x:c>
      <x:c r="G54" s="21" t="n">
        <x:v>12310</x:v>
      </x:c>
      <x:c r="H54" s="21" t="n">
        <x:v>114246</x:v>
      </x:c>
      <x:c r="I54" s="21" t="n">
        <x:v>437415</x:v>
      </x:c>
      <x:c r="J54" s="21" t="n">
        <x:v>34355</x:v>
      </x:c>
      <x:c r="K54" s="41" t="str">
        <x:v>documented_rename</x:v>
      </x:c>
      <x:c r="L54" s="2"/>
      <x:c r="M54" s="2"/>
      <x:c r="N54" s="2"/>
    </x:row>
    <x:row r="55" ht="25" customHeight="1">
      <x:c r="A55" s="31" t="str">
        <x:v>DRU</x:v>
      </x:c>
      <x:c r="B55" s="42" t="str">
        <x:v>Všeobecná družstevní banka</x:v>
      </x:c>
      <x:c r="C55" s="31" t="str">
        <x:v>Praha</x:v>
      </x:c>
      <x:c r="D55" s="27" t="b">
        <x:v>1</x:v>
      </x:c>
      <x:c r="E55" s="31" t="str">
        <x:v>vseobdruz</x:v>
      </x:c>
      <x:c r="F55" s="23" t="n">
        <x:v>5000</x:v>
      </x:c>
      <x:c r="G55" s="23" t="n">
        <x:v>3854</x:v>
      </x:c>
      <x:c r="H55" s="23" t="n">
        <x:v>35104</x:v>
      </x:c>
      <x:c r="I55" s="23" t="n">
        <x:v>102362</x:v>
      </x:c>
      <x:c r="J55" s="23" t="n">
        <x:v>0</x:v>
      </x:c>
      <x:c r="K55" s="42" t="str">
        <x:v>exact_canonical_name</x:v>
      </x:c>
      <x:c r="L55" s="2"/>
      <x:c r="M55" s="2"/>
      <x:c r="N55" s="2"/>
    </x:row>
    <x:row r="56" ht="25" customHeight="1">
      <x:c r="A56" s="29" t="str">
        <x:v>ZIV</x:v>
      </x:c>
      <x:c r="B56" s="41" t="str">
        <x:v>Živnostenská banka</x:v>
      </x:c>
      <x:c r="C56" s="29" t="str">
        <x:v>Praha</x:v>
      </x:c>
      <x:c r="D56" s="26" t="b">
        <x:v>1</x:v>
      </x:c>
      <x:c r="E56" s="29" t="str">
        <x:v>zivno</x:v>
      </x:c>
      <x:c r="F56" s="21" t="n">
        <x:v>300000</x:v>
      </x:c>
      <x:c r="G56" s="21" t="n">
        <x:v>365000</x:v>
      </x:c>
      <x:c r="H56" s="21" t="n">
        <x:v>1971805</x:v>
      </x:c>
      <x:c r="I56" s="21" t="n">
        <x:v>2787835</x:v>
      </x:c>
      <x:c r="J56" s="21" t="n">
        <x:v>48843</x:v>
      </x:c>
      <x:c r="K56" s="41" t="str">
        <x:v>exact_canonical_name</x:v>
      </x:c>
      <x:c r="L56" s="2"/>
      <x:c r="M56" s="2"/>
      <x:c r="N56" s="2"/>
    </x:row>
    <x:row r="57" ht="25" customHeight="1">
      <x:c r="A57" s="31" t="str">
        <x:v>PLZ</x:v>
      </x:c>
      <x:c r="B57" s="42" t="str">
        <x:v>Plzeňská banka</x:v>
      </x:c>
      <x:c r="C57" s="31" t="str">
        <x:v>Plzeň</x:v>
      </x:c>
      <x:c r="D57" s="27" t="b">
        <x:v>1</x:v>
      </x:c>
      <x:c r="E57" s="31" t="str">
        <x:v>plzenska</x:v>
      </x:c>
      <x:c r="F57" s="23" t="n">
        <x:v>10000</x:v>
      </x:c>
      <x:c r="G57" s="23" t="n">
        <x:v>10566</x:v>
      </x:c>
      <x:c r="H57" s="23" t="n">
        <x:v>66212</x:v>
      </x:c>
      <x:c r="I57" s="23" t="n">
        <x:v>80558</x:v>
      </x:c>
      <x:c r="J57" s="23" t="n">
        <x:v>0</x:v>
      </x:c>
      <x:c r="K57" s="42" t="str">
        <x:v>exact_canonical_name</x:v>
      </x:c>
      <x:c r="L57" s="2"/>
      <x:c r="M57" s="2"/>
      <x:c r="N57" s="2"/>
    </x:row>
    <x:row r="58" ht="25" customHeight="1">
      <x:c r="A58" s="29" t="str">
        <x:v>STR</x:v>
      </x:c>
      <x:c r="B58" s="41" t="str">
        <x:v>Středočeská banka</x:v>
      </x:c>
      <x:c r="C58" s="29" t="str">
        <x:v>Příbram</x:v>
      </x:c>
      <x:c r="D58" s="26" t="b">
        <x:v>0</x:v>
      </x:c>
      <x:c r="E58" s="29"/>
      <x:c r="F58" s="21" t="n">
        <x:v>4000</x:v>
      </x:c>
      <x:c r="G58" s="21" t="n">
        <x:v>1168</x:v>
      </x:c>
      <x:c r="H58" s="21" t="n">
        <x:v>18719</x:v>
      </x:c>
      <x:c r="I58" s="21" t="n">
        <x:v>2035</x:v>
      </x:c>
      <x:c r="J58" s="21" t="n">
        <x:v>0</x:v>
      </x:c>
      <x:c r="K58" s="41" t="str">
        <x:v>unmatched_separate_national_institution</x:v>
      </x:c>
      <x:c r="L58" s="2"/>
      <x:c r="M58" s="2"/>
      <x:c r="N58" s="2"/>
    </x:row>
    <x:row r="59" ht="25" customHeight="1">
      <x:c r="A59" s="31" t="str">
        <x:v>BRU</x:v>
      </x:c>
      <x:c r="B59" s="42" t="str">
        <x:v>Brünner Kreditbank für Gewerbe und Handel</x:v>
      </x:c>
      <x:c r="C59" s="31" t="str">
        <x:v>Brno</x:v>
      </x:c>
      <x:c r="D59" s="27" t="b">
        <x:v>0</x:v>
      </x:c>
      <x:c r="E59" s="31"/>
      <x:c r="F59" s="23" t="n">
        <x:v>100</x:v>
      </x:c>
      <x:c r="G59" s="23" t="n">
        <x:v>17</x:v>
      </x:c>
      <x:c r="H59" s="23" t="n">
        <x:v>0</x:v>
      </x:c>
      <x:c r="I59" s="23" t="n">
        <x:v>34</x:v>
      </x:c>
      <x:c r="J59" s="23" t="n">
        <x:v>0</x:v>
      </x:c>
      <x:c r="K59" s="42" t="str">
        <x:v>unmatched_separate_national_institution</x:v>
      </x:c>
      <x:c r="L59" s="2"/>
      <x:c r="M59" s="2"/>
      <x:c r="N59" s="2"/>
    </x:row>
    <x:row r="60" ht="25" customHeight="1">
      <x:c r="A60" s="29" t="str">
        <x:v>MOR</x:v>
      </x:c>
      <x:c r="B60" s="41" t="str">
        <x:v>Moravská banka</x:v>
      </x:c>
      <x:c r="C60" s="29" t="str">
        <x:v>Brno</x:v>
      </x:c>
      <x:c r="D60" s="26" t="b">
        <x:v>1</x:v>
      </x:c>
      <x:c r="E60" s="29" t="str">
        <x:v>moravska</x:v>
      </x:c>
      <x:c r="F60" s="21" t="n">
        <x:v>120000</x:v>
      </x:c>
      <x:c r="G60" s="21" t="n">
        <x:v>89772</x:v>
      </x:c>
      <x:c r="H60" s="21" t="n">
        <x:v>549650</x:v>
      </x:c>
      <x:c r="I60" s="21" t="n">
        <x:v>1102148</x:v>
      </x:c>
      <x:c r="J60" s="21" t="n">
        <x:v>0</x:v>
      </x:c>
      <x:c r="K60" s="41" t="str">
        <x:v>exact_canonical_name</x:v>
      </x:c>
      <x:c r="L60" s="2"/>
      <x:c r="M60" s="2"/>
      <x:c r="N60" s="2"/>
    </x:row>
    <x:row r="61" ht="25" customHeight="1">
      <x:c r="A61" s="31" t="str">
        <x:v>MLI</x:v>
      </x:c>
      <x:c r="B61" s="42" t="str">
        <x:v>Moravská lidová banka</x:v>
      </x:c>
      <x:c r="C61" s="31" t="str">
        <x:v>Brno</x:v>
      </x:c>
      <x:c r="D61" s="27" t="b">
        <x:v>0</x:v>
      </x:c>
      <x:c r="E61" s="31"/>
      <x:c r="F61" s="23" t="n">
        <x:v>3000</x:v>
      </x:c>
      <x:c r="G61" s="23" t="n">
        <x:v>4386</x:v>
      </x:c>
      <x:c r="H61" s="23" t="n">
        <x:v>17255</x:v>
      </x:c>
      <x:c r="I61" s="23" t="n">
        <x:v>27619</x:v>
      </x:c>
      <x:c r="J61" s="23" t="n">
        <x:v>0</x:v>
      </x:c>
      <x:c r="K61" s="42" t="str">
        <x:v>unmatched_separate_national_institution</x:v>
      </x:c>
      <x:c r="L61" s="2"/>
      <x:c r="M61" s="2"/>
      <x:c r="N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3">
    <x:tablePart xmlns:r="http://schemas.openxmlformats.org/officeDocument/2006/relationships" r:id="R1afcbc5c021a4ad0"/>
    <x:tablePart xmlns:r="http://schemas.openxmlformats.org/officeDocument/2006/relationships" r:id="Rb471e5ea802e47e5"/>
    <x:tablePart xmlns:r="http://schemas.openxmlformats.org/officeDocument/2006/relationships" r:id="Rb508149631a64902"/>
  </x:tableParts>
</x:worksheet>
</file>

<file path=xl/worksheets/sheet13.xml><?xml version="1.0" encoding="utf-8"?>
<x:worksheet xmlns:x="http://schemas.openxmlformats.org/spreadsheetml/2006/main">
  <x:sheetPr>
    <x:tabColor rgb="FFA79B8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.329999923706055" hidden="0" customWidth="1"/>
    <x:col min="2" max="2" width="27.219999313354492" hidden="0" customWidth="1"/>
    <x:col min="3" max="3" width="22.219999313354492" hidden="0" customWidth="1"/>
    <x:col min="4" max="4" width="48.88999938964844" hidden="0" customWidth="1"/>
    <x:col min="5" max="5" width="10" hidden="0" customWidth="1"/>
    <x:col min="6" max="6" width="16.670000076293945" hidden="0" customWidth="1"/>
    <x:col min="7" max="7" width="17.780000686645508" hidden="0" customWidth="1"/>
    <x:col min="8" max="8" width="35.560001373291016" hidden="0" customWidth="1"/>
    <x:col min="9" max="9" width="24.440000534057617" hidden="0" customWidth="1"/>
    <x:col min="10" max="10" width="24.440000534057617" hidden="0" customWidth="1"/>
    <x:col min="11" max="11" width="24.440000534057617" hidden="0" customWidth="1"/>
    <x:col min="12" max="12" width="31.110000610351562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Variable dictionary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The complete release dictionary covers every public CSV column. Dataset IDs identify the canonical tables.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The workbook is a curated account and indicator view. Full long-form observations and cell lineage remain in the CSV release.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dataset id</x:v>
      </x:c>
      <x:c r="B7" s="16" t="str">
        <x:v>column name</x:v>
      </x:c>
      <x:c r="C7" s="16" t="str">
        <x:v>label</x:v>
      </x:c>
      <x:c r="D7" s="16" t="str">
        <x:v>description</x:v>
      </x:c>
      <x:c r="E7" s="16" t="str">
        <x:v>data type</x:v>
      </x:c>
      <x:c r="F7" s="16" t="str">
        <x:v>unit</x:v>
      </x:c>
      <x:c r="G7" s="16" t="str">
        <x:v>role</x:v>
      </x:c>
      <x:c r="H7" s="16" t="str">
        <x:v>formula</x:v>
      </x:c>
      <x:c r="I7" s="16" t="str">
        <x:v>original source label</x:v>
      </x:c>
      <x:c r="J7" s="16" t="str">
        <x:v>input source column</x:v>
      </x:c>
      <x:c r="K7" s="16" t="str">
        <x:v>missing value encoding</x:v>
      </x:c>
      <x:c r="L7" s="17" t="str">
        <x:v>status detail location</x:v>
      </x:c>
      <x:c r="M7" s="2"/>
      <x:c r="N7" s="2"/>
    </x:row>
    <x:row r="8" ht="36" customHeight="1">
      <x:c r="A8" s="41" t="str">
        <x:v>annual_balance_sheet</x:v>
      </x:c>
      <x:c r="B8" s="41" t="str">
        <x:v>year</x:v>
      </x:c>
      <x:c r="C8" s="41" t="str">
        <x:v>Year</x:v>
      </x:c>
      <x:c r="D8" s="41" t="str">
        <x:v>Calendar year of the observation; balance-sheet stocks are year-end unless a source-date field says otherwise.</x:v>
      </x:c>
      <x:c r="E8" s="41" t="str">
        <x:v>integer</x:v>
      </x:c>
      <x:c r="F8" s="41"/>
      <x:c r="G8" s="41" t="str">
        <x:v>provenance_or_identifier</x:v>
      </x:c>
      <x:c r="H8" s="41"/>
      <x:c r="I8" s="41"/>
      <x:c r="J8" s="41"/>
      <x:c r="K8" s="41" t="str">
        <x:v>empty CSV field; never implicit zero</x:v>
      </x:c>
      <x:c r="L8" s="41" t="str">
        <x:v>data/observations_long.csv; metadata/raw_to_analytic.csv</x:v>
      </x:c>
      <x:c r="M8" s="2"/>
      <x:c r="N8" s="2"/>
    </x:row>
    <x:row r="9" ht="36" customHeight="1">
      <x:c r="A9" s="42" t="str">
        <x:v>annual_balance_sheet</x:v>
      </x:c>
      <x:c r="B9" s="42" t="str">
        <x:v>population_id</x:v>
      </x:c>
      <x:c r="C9" s="42" t="str">
        <x:v>Population id</x:v>
      </x:c>
      <x:c r="D9" s="42" t="str">
        <x:v>Join key to metadata/population_definitions.csv; populations must not be pooled or added without a defined bridge.</x:v>
      </x:c>
      <x:c r="E9" s="42" t="str">
        <x:v>string</x:v>
      </x:c>
      <x:c r="F9" s="42"/>
      <x:c r="G9" s="42" t="str">
        <x:v>provenance_or_identifier</x:v>
      </x:c>
      <x:c r="H9" s="42"/>
      <x:c r="I9" s="42"/>
      <x:c r="J9" s="42"/>
      <x:c r="K9" s="42" t="str">
        <x:v>empty CSV field; never implicit zero</x:v>
      </x:c>
      <x:c r="L9" s="42" t="str">
        <x:v>data/observations_long.csv; metadata/raw_to_analytic.csv</x:v>
      </x:c>
      <x:c r="M9" s="2"/>
      <x:c r="N9" s="2"/>
    </x:row>
    <x:row r="10" ht="36" customHeight="1">
      <x:c r="A10" s="41" t="str">
        <x:v>annual_balance_sheet</x:v>
      </x:c>
      <x:c r="B10" s="41" t="str">
        <x:v>bank_count</x:v>
      </x:c>
      <x:c r="C10" s="41" t="str">
        <x:v>Number of reporting banks</x:v>
      </x:c>
      <x:c r="D10" s="41" t="str">
        <x:v>Published count; changes do not identify entry, exit or mergers individually.</x:v>
      </x:c>
      <x:c r="E10" s="41" t="str">
        <x:v>number</x:v>
      </x:c>
      <x:c r="F10" s="41" t="str">
        <x:v>bank_count</x:v>
      </x:c>
      <x:c r="G10" s="41" t="str">
        <x:v>measure</x:v>
      </x:c>
      <x:c r="H10" s="41"/>
      <x:c r="I10" s="41" t="str">
        <x:v>Number of reporting banks</x:v>
      </x:c>
      <x:c r="J10" s="41" t="str">
        <x:v>bank_count</x:v>
      </x:c>
      <x:c r="K10" s="41" t="str">
        <x:v>empty CSV field; never implicit zero</x:v>
      </x:c>
      <x:c r="L10" s="41" t="str">
        <x:v>data/observations_long.csv; metadata/raw_to_analytic.csv</x:v>
      </x:c>
      <x:c r="M10" s="2"/>
      <x:c r="N10" s="2"/>
    </x:row>
    <x:row r="11" ht="36" customHeight="1">
      <x:c r="A11" s="42" t="str">
        <x:v>annual_balance_sheet</x:v>
      </x:c>
      <x:c r="B11" s="42" t="str">
        <x:v>cash</x:v>
      </x:c>
      <x:c r="C11" s="42" t="str">
        <x:v>Cash, separately reported</x:v>
      </x:c>
      <x:c r="D11" s="42" t="str">
        <x:v>Original pre-1931 cash item; do not splice alone with the later combined cash item.</x:v>
      </x:c>
      <x:c r="E11" s="42" t="str">
        <x:v>number</x:v>
      </x:c>
      <x:c r="F11" s="42" t="str">
        <x:v>million_kc_nominal</x:v>
      </x:c>
      <x:c r="G11" s="42" t="str">
        <x:v>measure</x:v>
      </x:c>
      <x:c r="H11" s="42"/>
      <x:c r="I11" s="42" t="str">
        <x:v>Cash, separately reported</x:v>
      </x:c>
      <x:c r="J11" s="42" t="str">
        <x:v>cash</x:v>
      </x:c>
      <x:c r="K11" s="42" t="str">
        <x:v>empty CSV field; never implicit zero</x:v>
      </x:c>
      <x:c r="L11" s="42" t="str">
        <x:v>data/observations_long.csv; metadata/raw_to_analytic.csv</x:v>
      </x:c>
      <x:c r="M11" s="2"/>
      <x:c r="N11" s="2"/>
    </x:row>
    <x:row r="12" ht="36" customHeight="1">
      <x:c r="A12" s="41" t="str">
        <x:v>annual_balance_sheet</x:v>
      </x:c>
      <x:c r="B12" s="41" t="str">
        <x:v>other_cash_like</x:v>
      </x:c>
      <x:c r="C12" s="41" t="str">
        <x:v>Other cash-like items</x:v>
      </x:c>
      <x:c r="D12" s="41" t="str">
        <x:v>Money on call and foreign-currency cash-like instruments under the original classification.</x:v>
      </x:c>
      <x:c r="E12" s="41" t="str">
        <x:v>number</x:v>
      </x:c>
      <x:c r="F12" s="41" t="str">
        <x:v>million_kc_nominal</x:v>
      </x:c>
      <x:c r="G12" s="41" t="str">
        <x:v>measure</x:v>
      </x:c>
      <x:c r="H12" s="41"/>
      <x:c r="I12" s="41" t="str">
        <x:v>Other cash-like items</x:v>
      </x:c>
      <x:c r="J12" s="41" t="str">
        <x:v>other_cash_like</x:v>
      </x:c>
      <x:c r="K12" s="41" t="str">
        <x:v>empty CSV field; never implicit zero</x:v>
      </x:c>
      <x:c r="L12" s="41" t="str">
        <x:v>data/observations_long.csv; metadata/raw_to_analytic.csv</x:v>
      </x:c>
      <x:c r="M12" s="2"/>
      <x:c r="N12" s="2"/>
    </x:row>
    <x:row r="13" ht="36" customHeight="1">
      <x:c r="A13" s="42" t="str">
        <x:v>annual_balance_sheet</x:v>
      </x:c>
      <x:c r="B13" s="42" t="str">
        <x:v>cash_plus_other_cash_like</x:v>
      </x:c>
      <x:c r="C13" s="42" t="str">
        <x:v>Combined cash and cash-like items</x:v>
      </x:c>
      <x:c r="D13" s="42" t="str">
        <x:v>Published combined category from 1931; includes items other than central-bank reserves.</x:v>
      </x:c>
      <x:c r="E13" s="42" t="str">
        <x:v>number</x:v>
      </x:c>
      <x:c r="F13" s="42" t="str">
        <x:v>million_kc_nominal</x:v>
      </x:c>
      <x:c r="G13" s="42" t="str">
        <x:v>measure</x:v>
      </x:c>
      <x:c r="H13" s="42"/>
      <x:c r="I13" s="42" t="str">
        <x:v>Combined cash and cash-like items</x:v>
      </x:c>
      <x:c r="J13" s="42" t="str">
        <x:v>cash_plus_other_cash_like</x:v>
      </x:c>
      <x:c r="K13" s="42" t="str">
        <x:v>empty CSV field; never implicit zero</x:v>
      </x:c>
      <x:c r="L13" s="42" t="str">
        <x:v>data/observations_long.csv; metadata/raw_to_analytic.csv</x:v>
      </x:c>
      <x:c r="M13" s="2"/>
      <x:c r="N13" s="2"/>
    </x:row>
    <x:row r="14" ht="36" customHeight="1">
      <x:c r="A14" s="41" t="str">
        <x:v>annual_balance_sheet</x:v>
      </x:c>
      <x:c r="B14" s="41" t="str">
        <x:v>bills_discounted</x:v>
      </x:c>
      <x:c r="C14" s="41" t="str">
        <x:v>Discounted bills</x:v>
      </x:c>
      <x:c r="D14" s="41" t="str">
        <x:v>Published domestic commercial bills; foreign bills are classified with cash-like items.</x:v>
      </x:c>
      <x:c r="E14" s="41" t="str">
        <x:v>number</x:v>
      </x:c>
      <x:c r="F14" s="41" t="str">
        <x:v>million_kc_nominal</x:v>
      </x:c>
      <x:c r="G14" s="41" t="str">
        <x:v>measure</x:v>
      </x:c>
      <x:c r="H14" s="41"/>
      <x:c r="I14" s="41" t="str">
        <x:v>Discounted bills</x:v>
      </x:c>
      <x:c r="J14" s="41" t="str">
        <x:v>bills_discounted</x:v>
      </x:c>
      <x:c r="K14" s="41" t="str">
        <x:v>empty CSV field; never implicit zero</x:v>
      </x:c>
      <x:c r="L14" s="41" t="str">
        <x:v>data/observations_long.csv; metadata/raw_to_analytic.csv</x:v>
      </x:c>
      <x:c r="M14" s="2"/>
      <x:c r="N14" s="2"/>
    </x:row>
    <x:row r="15" ht="36" customHeight="1">
      <x:c r="A15" s="42" t="str">
        <x:v>annual_balance_sheet</x:v>
      </x:c>
      <x:c r="B15" s="42" t="str">
        <x:v>investments_securities</x:v>
      </x:c>
      <x:c r="C15" s="42" t="str">
        <x:v>Investments and securities</x:v>
      </x:c>
      <x:c r="D15" s="42" t="str">
        <x:v>Published aggregate; government and other issuers are not separated.</x:v>
      </x:c>
      <x:c r="E15" s="42" t="str">
        <x:v>number</x:v>
      </x:c>
      <x:c r="F15" s="42" t="str">
        <x:v>million_kc_nominal</x:v>
      </x:c>
      <x:c r="G15" s="42" t="str">
        <x:v>measure</x:v>
      </x:c>
      <x:c r="H15" s="42"/>
      <x:c r="I15" s="42" t="str">
        <x:v>Investments and securities</x:v>
      </x:c>
      <x:c r="J15" s="42" t="str">
        <x:v>investments_securities</x:v>
      </x:c>
      <x:c r="K15" s="42" t="str">
        <x:v>empty CSV field; never implicit zero</x:v>
      </x:c>
      <x:c r="L15" s="42" t="str">
        <x:v>data/observations_long.csv; metadata/raw_to_analytic.csv</x:v>
      </x:c>
      <x:c r="M15" s="2"/>
      <x:c r="N15" s="2"/>
    </x:row>
    <x:row r="16" ht="36" customHeight="1">
      <x:c r="A16" s="41" t="str">
        <x:v>annual_balance_sheet</x:v>
      </x:c>
      <x:c r="B16" s="41" t="str">
        <x:v>participations</x:v>
      </x:c>
      <x:c r="C16" s="41" t="str">
        <x:v>Participations</x:v>
      </x:c>
      <x:c r="D16" s="41" t="str">
        <x:v>Reported equity/participation interests, separately classified from investments and securities.</x:v>
      </x:c>
      <x:c r="E16" s="41" t="str">
        <x:v>number</x:v>
      </x:c>
      <x:c r="F16" s="41" t="str">
        <x:v>million_kc_nominal</x:v>
      </x:c>
      <x:c r="G16" s="41" t="str">
        <x:v>measure</x:v>
      </x:c>
      <x:c r="H16" s="41"/>
      <x:c r="I16" s="41" t="str">
        <x:v>Participations</x:v>
      </x:c>
      <x:c r="J16" s="41" t="str">
        <x:v>participations</x:v>
      </x:c>
      <x:c r="K16" s="41" t="str">
        <x:v>empty CSV field; never implicit zero</x:v>
      </x:c>
      <x:c r="L16" s="41" t="str">
        <x:v>data/observations_long.csv; metadata/raw_to_analytic.csv</x:v>
      </x:c>
      <x:c r="M16" s="2"/>
      <x:c r="N16" s="2"/>
    </x:row>
    <x:row r="17" ht="36" customHeight="1">
      <x:c r="A17" s="42" t="str">
        <x:v>annual_balance_sheet</x:v>
      </x:c>
      <x:c r="B17" s="42" t="str">
        <x:v>due_from_banks</x:v>
      </x:c>
      <x:c r="C17" s="42" t="str">
        <x:v>due from banks</x:v>
      </x:c>
      <x:c r="D17" s="42" t="str">
        <x:v>Published source category; retained separately without infilling.</x:v>
      </x:c>
      <x:c r="E17" s="42" t="str">
        <x:v>number</x:v>
      </x:c>
      <x:c r="F17" s="42" t="str">
        <x:v>million_kc_nominal</x:v>
      </x:c>
      <x:c r="G17" s="42" t="str">
        <x:v>measure</x:v>
      </x:c>
      <x:c r="H17" s="42"/>
      <x:c r="I17" s="42" t="str">
        <x:v>due from banks</x:v>
      </x:c>
      <x:c r="J17" s="42" t="str">
        <x:v>due_from_banks</x:v>
      </x:c>
      <x:c r="K17" s="42" t="str">
        <x:v>empty CSV field; never implicit zero</x:v>
      </x:c>
      <x:c r="L17" s="42" t="str">
        <x:v>data/observations_long.csv; metadata/raw_to_analytic.csv</x:v>
      </x:c>
      <x:c r="M17" s="2"/>
      <x:c r="N17" s="2"/>
    </x:row>
    <x:row r="18" ht="36" customHeight="1">
      <x:c r="A18" s="41" t="str">
        <x:v>annual_balance_sheet</x:v>
      </x:c>
      <x:c r="B18" s="41" t="str">
        <x:v>loans_advances</x:v>
      </x:c>
      <x:c r="C18" s="41" t="str">
        <x:v>Loans and advances</x:v>
      </x:c>
      <x:c r="D18" s="41" t="str">
        <x:v>Includes bank and correspondent receivables; not exclusively lending to nonfinancial domestic borrowers.</x:v>
      </x:c>
      <x:c r="E18" s="41" t="str">
        <x:v>number</x:v>
      </x:c>
      <x:c r="F18" s="41" t="str">
        <x:v>million_kc_nominal</x:v>
      </x:c>
      <x:c r="G18" s="41" t="str">
        <x:v>measure</x:v>
      </x:c>
      <x:c r="H18" s="41"/>
      <x:c r="I18" s="41" t="str">
        <x:v>Loans and advances</x:v>
      </x:c>
      <x:c r="J18" s="41" t="str">
        <x:v>loans_advances</x:v>
      </x:c>
      <x:c r="K18" s="41" t="str">
        <x:v>empty CSV field; never implicit zero</x:v>
      </x:c>
      <x:c r="L18" s="41" t="str">
        <x:v>data/observations_long.csv; metadata/raw_to_analytic.csv</x:v>
      </x:c>
      <x:c r="M18" s="2"/>
      <x:c r="N18" s="2"/>
    </x:row>
    <x:row r="19" ht="36" customHeight="1">
      <x:c r="A19" s="42" t="str">
        <x:v>annual_balance_sheet</x:v>
      </x:c>
      <x:c r="B19" s="42" t="str">
        <x:v>cover_acceptances</x:v>
      </x:c>
      <x:c r="C19" s="42" t="str">
        <x:v>Cover for acceptances</x:v>
      </x:c>
      <x:c r="D19" s="42" t="str">
        <x:v>Separately shown when available; missing does not prove economic absence.</x:v>
      </x:c>
      <x:c r="E19" s="42" t="str">
        <x:v>number</x:v>
      </x:c>
      <x:c r="F19" s="42" t="str">
        <x:v>million_kc_nominal</x:v>
      </x:c>
      <x:c r="G19" s="42" t="str">
        <x:v>measure</x:v>
      </x:c>
      <x:c r="H19" s="42"/>
      <x:c r="I19" s="42" t="str">
        <x:v>Cover for acceptances</x:v>
      </x:c>
      <x:c r="J19" s="42" t="str">
        <x:v>cover_acceptances</x:v>
      </x:c>
      <x:c r="K19" s="42" t="str">
        <x:v>empty CSV field; never implicit zero</x:v>
      </x:c>
      <x:c r="L19" s="42" t="str">
        <x:v>data/observations_long.csv; metadata/raw_to_analytic.csv</x:v>
      </x:c>
      <x:c r="M19" s="2"/>
      <x:c r="N19" s="2"/>
    </x:row>
    <x:row r="20" ht="36" customHeight="1">
      <x:c r="A20" s="41" t="str">
        <x:v>annual_balance_sheet</x:v>
      </x:c>
      <x:c r="B20" s="41" t="str">
        <x:v>premises</x:v>
      </x:c>
      <x:c r="C20" s="41" t="str">
        <x:v>Premises and related fixed assets</x:v>
      </x:c>
      <x:c r="D20" s="41" t="str">
        <x:v>Bank premises, furniture and related assets for own use.</x:v>
      </x:c>
      <x:c r="E20" s="41" t="str">
        <x:v>number</x:v>
      </x:c>
      <x:c r="F20" s="41" t="str">
        <x:v>million_kc_nominal</x:v>
      </x:c>
      <x:c r="G20" s="41" t="str">
        <x:v>measure</x:v>
      </x:c>
      <x:c r="H20" s="41"/>
      <x:c r="I20" s="41" t="str">
        <x:v>Premises and related fixed assets</x:v>
      </x:c>
      <x:c r="J20" s="41" t="str">
        <x:v>premises</x:v>
      </x:c>
      <x:c r="K20" s="41" t="str">
        <x:v>empty CSV field; never implicit zero</x:v>
      </x:c>
      <x:c r="L20" s="41" t="str">
        <x:v>data/observations_long.csv; metadata/raw_to_analytic.csv</x:v>
      </x:c>
      <x:c r="M20" s="2"/>
      <x:c r="N20" s="2"/>
    </x:row>
    <x:row r="21" ht="36" customHeight="1">
      <x:c r="A21" s="42" t="str">
        <x:v>annual_balance_sheet</x:v>
      </x:c>
      <x:c r="B21" s="42" t="str">
        <x:v>sundry_assets</x:v>
      </x:c>
      <x:c r="C21" s="42" t="str">
        <x:v>Sundry assets</x:v>
      </x:c>
      <x:c r="D21" s="42" t="str">
        <x:v>Includes special mortgage/municipal/railway loans, other real estate, temporary accounts and, from 1934, a reported net-loss item.</x:v>
      </x:c>
      <x:c r="E21" s="42" t="str">
        <x:v>number</x:v>
      </x:c>
      <x:c r="F21" s="42" t="str">
        <x:v>million_kc_nominal</x:v>
      </x:c>
      <x:c r="G21" s="42" t="str">
        <x:v>measure</x:v>
      </x:c>
      <x:c r="H21" s="42"/>
      <x:c r="I21" s="42" t="str">
        <x:v>Sundry assets</x:v>
      </x:c>
      <x:c r="J21" s="42" t="str">
        <x:v>sundry_assets</x:v>
      </x:c>
      <x:c r="K21" s="42" t="str">
        <x:v>empty CSV field; never implicit zero</x:v>
      </x:c>
      <x:c r="L21" s="42" t="str">
        <x:v>data/observations_long.csv; metadata/raw_to_analytic.csv</x:v>
      </x:c>
      <x:c r="M21" s="2"/>
      <x:c r="N21" s="2"/>
    </x:row>
    <x:row r="22" ht="36" customHeight="1">
      <x:c r="A22" s="41" t="str">
        <x:v>annual_balance_sheet</x:v>
      </x:c>
      <x:c r="B22" s="41" t="str">
        <x:v>total_assets</x:v>
      </x:c>
      <x:c r="C22" s="41" t="str">
        <x:v>Total assets</x:v>
      </x:c>
      <x:c r="D22" s="41" t="str">
        <x:v>Published balance-sheet total after LoN exclusion of memorandum accounts.</x:v>
      </x:c>
      <x:c r="E22" s="41" t="str">
        <x:v>number</x:v>
      </x:c>
      <x:c r="F22" s="41" t="str">
        <x:v>million_kc_nominal</x:v>
      </x:c>
      <x:c r="G22" s="41" t="str">
        <x:v>measure</x:v>
      </x:c>
      <x:c r="H22" s="41"/>
      <x:c r="I22" s="41" t="str">
        <x:v>Total assets</x:v>
      </x:c>
      <x:c r="J22" s="41" t="str">
        <x:v>total_assets</x:v>
      </x:c>
      <x:c r="K22" s="41" t="str">
        <x:v>empty CSV field; never implicit zero</x:v>
      </x:c>
      <x:c r="L22" s="41" t="str">
        <x:v>data/observations_long.csv; metadata/raw_to_analytic.csv</x:v>
      </x:c>
      <x:c r="M22" s="2"/>
      <x:c r="N22" s="2"/>
    </x:row>
    <x:row r="23" ht="36" customHeight="1">
      <x:c r="A23" s="42" t="str">
        <x:v>annual_balance_sheet</x:v>
      </x:c>
      <x:c r="B23" s="42" t="str">
        <x:v>capital_paid</x:v>
      </x:c>
      <x:c r="C23" s="42" t="str">
        <x:v>Paid-up capital</x:v>
      </x:c>
      <x:c r="D23" s="42" t="str">
        <x:v>Reported paid-in share capital; not risk-weighted regulatory capital.</x:v>
      </x:c>
      <x:c r="E23" s="42" t="str">
        <x:v>number</x:v>
      </x:c>
      <x:c r="F23" s="42" t="str">
        <x:v>million_kc_nominal</x:v>
      </x:c>
      <x:c r="G23" s="42" t="str">
        <x:v>measure</x:v>
      </x:c>
      <x:c r="H23" s="42"/>
      <x:c r="I23" s="42" t="str">
        <x:v>Paid-up capital</x:v>
      </x:c>
      <x:c r="J23" s="42" t="str">
        <x:v>capital_paid</x:v>
      </x:c>
      <x:c r="K23" s="42" t="str">
        <x:v>empty CSV field; never implicit zero</x:v>
      </x:c>
      <x:c r="L23" s="42" t="str">
        <x:v>data/observations_long.csv; metadata/raw_to_analytic.csv</x:v>
      </x:c>
      <x:c r="M23" s="2"/>
      <x:c r="N23" s="2"/>
    </x:row>
    <x:row r="24" ht="36" customHeight="1">
      <x:c r="A24" s="41" t="str">
        <x:v>annual_balance_sheet</x:v>
      </x:c>
      <x:c r="B24" s="41" t="str">
        <x:v>reserve_funds</x:v>
      </x:c>
      <x:c r="C24" s="41" t="str">
        <x:v>Reserve funds</x:v>
      </x:c>
      <x:c r="D24" s="41" t="str">
        <x:v>Published reserves serving as cover for losses; other funds are in sundry liabilities.</x:v>
      </x:c>
      <x:c r="E24" s="41" t="str">
        <x:v>number</x:v>
      </x:c>
      <x:c r="F24" s="41" t="str">
        <x:v>million_kc_nominal</x:v>
      </x:c>
      <x:c r="G24" s="41" t="str">
        <x:v>measure</x:v>
      </x:c>
      <x:c r="H24" s="41"/>
      <x:c r="I24" s="41" t="str">
        <x:v>Reserve funds</x:v>
      </x:c>
      <x:c r="J24" s="41" t="str">
        <x:v>reserve_funds</x:v>
      </x:c>
      <x:c r="K24" s="41" t="str">
        <x:v>empty CSV field; never implicit zero</x:v>
      </x:c>
      <x:c r="L24" s="41" t="str">
        <x:v>data/observations_long.csv; metadata/raw_to_analytic.csv</x:v>
      </x:c>
      <x:c r="M24" s="2"/>
      <x:c r="N24" s="2"/>
    </x:row>
    <x:row r="25" ht="36" customHeight="1">
      <x:c r="A25" s="42" t="str">
        <x:v>annual_balance_sheet</x:v>
      </x:c>
      <x:c r="B25" s="42" t="str">
        <x:v>pnl_balance</x:v>
      </x:c>
      <x:c r="C25" s="42" t="str">
        <x:v>Balance-sheet profit-and-loss account</x:v>
      </x:c>
      <x:c r="D25" s="42" t="str">
        <x:v>Stock item on the liability side; distinct from annual remaining net profit or loss.</x:v>
      </x:c>
      <x:c r="E25" s="42" t="str">
        <x:v>number</x:v>
      </x:c>
      <x:c r="F25" s="42" t="str">
        <x:v>million_kc_nominal</x:v>
      </x:c>
      <x:c r="G25" s="42" t="str">
        <x:v>measure</x:v>
      </x:c>
      <x:c r="H25" s="42"/>
      <x:c r="I25" s="42" t="str">
        <x:v>Balance-sheet profit-and-loss account</x:v>
      </x:c>
      <x:c r="J25" s="42" t="str">
        <x:v>pnl_balance</x:v>
      </x:c>
      <x:c r="K25" s="42" t="str">
        <x:v>empty CSV field; never implicit zero</x:v>
      </x:c>
      <x:c r="L25" s="42" t="str">
        <x:v>data/observations_long.csv; metadata/raw_to_analytic.csv</x:v>
      </x:c>
      <x:c r="M25" s="2"/>
      <x:c r="N25" s="2"/>
    </x:row>
    <x:row r="26" ht="36" customHeight="1">
      <x:c r="A26" s="41" t="str">
        <x:v>annual_balance_sheet</x:v>
      </x:c>
      <x:c r="B26" s="41" t="str">
        <x:v>due_to_banks</x:v>
      </x:c>
      <x:c r="C26" s="41" t="str">
        <x:v>Amounts due to banks</x:v>
      </x:c>
      <x:c r="D26" s="41" t="str">
        <x:v>Gross reported bank/correspondent liabilities; domestic and foreign creditors not separated; intragroup counterparts not consolidated.</x:v>
      </x:c>
      <x:c r="E26" s="41" t="str">
        <x:v>number</x:v>
      </x:c>
      <x:c r="F26" s="41" t="str">
        <x:v>million_kc_nominal</x:v>
      </x:c>
      <x:c r="G26" s="41" t="str">
        <x:v>measure</x:v>
      </x:c>
      <x:c r="H26" s="41"/>
      <x:c r="I26" s="41" t="str">
        <x:v>Amounts due to banks</x:v>
      </x:c>
      <x:c r="J26" s="41" t="str">
        <x:v>due_to_banks</x:v>
      </x:c>
      <x:c r="K26" s="41" t="str">
        <x:v>empty CSV field; never implicit zero</x:v>
      </x:c>
      <x:c r="L26" s="41" t="str">
        <x:v>data/observations_long.csv; metadata/raw_to_analytic.csv</x:v>
      </x:c>
      <x:c r="M26" s="2"/>
      <x:c r="N26" s="2"/>
    </x:row>
    <x:row r="27" ht="36" customHeight="1">
      <x:c r="A27" s="42" t="str">
        <x:v>annual_balance_sheet</x:v>
      </x:c>
      <x:c r="B27" s="42" t="str">
        <x:v>current_sight_deposits</x:v>
      </x:c>
      <x:c r="C27" s="42" t="str">
        <x:v>Current and sight deposits</x:v>
      </x:c>
      <x:c r="D27" s="42" t="str">
        <x:v>Includes some longer-term current-account deposits. In 1919 the creditors category also includes interbank creditors.</x:v>
      </x:c>
      <x:c r="E27" s="42" t="str">
        <x:v>number</x:v>
      </x:c>
      <x:c r="F27" s="42" t="str">
        <x:v>million_kc_nominal</x:v>
      </x:c>
      <x:c r="G27" s="42" t="str">
        <x:v>measure</x:v>
      </x:c>
      <x:c r="H27" s="42"/>
      <x:c r="I27" s="42" t="str">
        <x:v>Current and sight deposits</x:v>
      </x:c>
      <x:c r="J27" s="42" t="str">
        <x:v>current_sight_deposits</x:v>
      </x:c>
      <x:c r="K27" s="42" t="str">
        <x:v>empty CSV field; never implicit zero</x:v>
      </x:c>
      <x:c r="L27" s="42" t="str">
        <x:v>data/observations_long.csv; metadata/raw_to_analytic.csv</x:v>
      </x:c>
      <x:c r="M27" s="2"/>
      <x:c r="N27" s="2"/>
    </x:row>
    <x:row r="28" ht="36" customHeight="1">
      <x:c r="A28" s="41" t="str">
        <x:v>annual_balance_sheet</x:v>
      </x:c>
      <x:c r="B28" s="41" t="str">
        <x:v>savings_time_deposits</x:v>
      </x:c>
      <x:c r="C28" s="41" t="str">
        <x:v>Savings accounts and cash certificates</x:v>
      </x:c>
      <x:c r="D28" s="41" t="str">
        <x:v>Main combined savings/time category, decomposed in the notes into savings_deposits + cash_certificates.</x:v>
      </x:c>
      <x:c r="E28" s="41" t="str">
        <x:v>number</x:v>
      </x:c>
      <x:c r="F28" s="41" t="str">
        <x:v>million_kc_nominal</x:v>
      </x:c>
      <x:c r="G28" s="41" t="str">
        <x:v>measure</x:v>
      </x:c>
      <x:c r="H28" s="41"/>
      <x:c r="I28" s="41" t="str">
        <x:v>Savings accounts and cash certificates</x:v>
      </x:c>
      <x:c r="J28" s="41" t="str">
        <x:v>savings_time_deposits</x:v>
      </x:c>
      <x:c r="K28" s="41" t="str">
        <x:v>empty CSV field; never implicit zero</x:v>
      </x:c>
      <x:c r="L28" s="41" t="str">
        <x:v>data/observations_long.csv; metadata/raw_to_analytic.csv</x:v>
      </x:c>
      <x:c r="M28" s="2"/>
      <x:c r="N28" s="2"/>
    </x:row>
    <x:row r="29" ht="36" customHeight="1">
      <x:c r="A29" s="42" t="str">
        <x:v>annual_balance_sheet</x:v>
      </x:c>
      <x:c r="B29" s="42" t="str">
        <x:v>other_deposits</x:v>
      </x:c>
      <x:c r="C29" s="42" t="str">
        <x:v>Other deposits, separately reported</x:v>
      </x:c>
      <x:c r="D29" s="42" t="str">
        <x:v>Creditors of commercial departments where separately shown; otherwise may be included in current accounts.</x:v>
      </x:c>
      <x:c r="E29" s="42" t="str">
        <x:v>number</x:v>
      </x:c>
      <x:c r="F29" s="42" t="str">
        <x:v>million_kc_nominal</x:v>
      </x:c>
      <x:c r="G29" s="42" t="str">
        <x:v>measure</x:v>
      </x:c>
      <x:c r="H29" s="42"/>
      <x:c r="I29" s="42" t="str">
        <x:v>Other deposits, separately reported</x:v>
      </x:c>
      <x:c r="J29" s="42" t="str">
        <x:v>other_deposits</x:v>
      </x:c>
      <x:c r="K29" s="42" t="str">
        <x:v>empty CSV field; never implicit zero</x:v>
      </x:c>
      <x:c r="L29" s="42" t="str">
        <x:v>data/observations_long.csv; metadata/raw_to_analytic.csv</x:v>
      </x:c>
      <x:c r="M29" s="2"/>
      <x:c r="N29" s="2"/>
    </x:row>
    <x:row r="30" ht="36" customHeight="1">
      <x:c r="A30" s="41" t="str">
        <x:v>annual_balance_sheet</x:v>
      </x:c>
      <x:c r="B30" s="41" t="str">
        <x:v>total_deposits</x:v>
      </x:c>
      <x:c r="C30" s="41" t="str">
        <x:v>Reported deposits</x:v>
      </x:c>
      <x:c r="D30" s="41" t="str">
        <x:v>Total published deposit item; bank creditors separately excluded from 1920, included in 1919.</x:v>
      </x:c>
      <x:c r="E30" s="41" t="str">
        <x:v>number</x:v>
      </x:c>
      <x:c r="F30" s="41" t="str">
        <x:v>million_kc_nominal</x:v>
      </x:c>
      <x:c r="G30" s="41" t="str">
        <x:v>measure</x:v>
      </x:c>
      <x:c r="H30" s="41"/>
      <x:c r="I30" s="41" t="str">
        <x:v>Reported deposits</x:v>
      </x:c>
      <x:c r="J30" s="41" t="str">
        <x:v>total_deposits</x:v>
      </x:c>
      <x:c r="K30" s="41" t="str">
        <x:v>empty CSV field; never implicit zero</x:v>
      </x:c>
      <x:c r="L30" s="41" t="str">
        <x:v>data/observations_long.csv; metadata/raw_to_analytic.csv</x:v>
      </x:c>
      <x:c r="M30" s="2"/>
      <x:c r="N30" s="2"/>
    </x:row>
    <x:row r="31" ht="36" customHeight="1">
      <x:c r="A31" s="42" t="str">
        <x:v>annual_balance_sheet</x:v>
      </x:c>
      <x:c r="B31" s="42" t="str">
        <x:v>rediscounts_borrowings</x:v>
      </x:c>
      <x:c r="C31" s="42" t="str">
        <x:v>rediscounts borrowings</x:v>
      </x:c>
      <x:c r="D31" s="42" t="str">
        <x:v>Published source category; retained separately without infilling.</x:v>
      </x:c>
      <x:c r="E31" s="42" t="str">
        <x:v>number</x:v>
      </x:c>
      <x:c r="F31" s="42" t="str">
        <x:v>million_kc_nominal</x:v>
      </x:c>
      <x:c r="G31" s="42" t="str">
        <x:v>measure</x:v>
      </x:c>
      <x:c r="H31" s="42"/>
      <x:c r="I31" s="42" t="str">
        <x:v>rediscounts borrowings</x:v>
      </x:c>
      <x:c r="J31" s="42" t="str">
        <x:v>rediscounts_borrowings</x:v>
      </x:c>
      <x:c r="K31" s="42" t="str">
        <x:v>empty CSV field; never implicit zero</x:v>
      </x:c>
      <x:c r="L31" s="42" t="str">
        <x:v>data/observations_long.csv; metadata/raw_to_analytic.csv</x:v>
      </x:c>
      <x:c r="M31" s="2"/>
      <x:c r="N31" s="2"/>
    </x:row>
    <x:row r="32" ht="36" customHeight="1">
      <x:c r="A32" s="41" t="str">
        <x:v>annual_balance_sheet</x:v>
      </x:c>
      <x:c r="B32" s="41" t="str">
        <x:v>acceptances_endorsements</x:v>
      </x:c>
      <x:c r="C32" s="41" t="str">
        <x:v>Acceptances and endorsements</x:v>
      </x:c>
      <x:c r="D32" s="41" t="str">
        <x:v>Published separately in some early years; absence of a printed value is not proof of zero.</x:v>
      </x:c>
      <x:c r="E32" s="41" t="str">
        <x:v>number</x:v>
      </x:c>
      <x:c r="F32" s="41" t="str">
        <x:v>million_kc_nominal</x:v>
      </x:c>
      <x:c r="G32" s="41" t="str">
        <x:v>measure</x:v>
      </x:c>
      <x:c r="H32" s="41"/>
      <x:c r="I32" s="41" t="str">
        <x:v>Acceptances and endorsements</x:v>
      </x:c>
      <x:c r="J32" s="41" t="str">
        <x:v>acceptances_endorsements</x:v>
      </x:c>
      <x:c r="K32" s="41" t="str">
        <x:v>empty CSV field; never implicit zero</x:v>
      </x:c>
      <x:c r="L32" s="41" t="str">
        <x:v>data/observations_long.csv; metadata/raw_to_analytic.csv</x:v>
      </x:c>
      <x:c r="M32" s="2"/>
      <x:c r="N32" s="2"/>
    </x:row>
    <x:row r="33" ht="36" customHeight="1">
      <x:c r="A33" s="42" t="str">
        <x:v>annual_balance_sheet</x:v>
      </x:c>
      <x:c r="B33" s="42" t="str">
        <x:v>sundry_liabilities</x:v>
      </x:c>
      <x:c r="C33" s="42" t="str">
        <x:v>Sundry liabilities</x:v>
      </x:c>
      <x:c r="D33" s="42" t="str">
        <x:v>Bonds, mortgage-department accounts, pension and non-loss funds, temporary/sundry accounts.</x:v>
      </x:c>
      <x:c r="E33" s="42" t="str">
        <x:v>number</x:v>
      </x:c>
      <x:c r="F33" s="42" t="str">
        <x:v>million_kc_nominal</x:v>
      </x:c>
      <x:c r="G33" s="42" t="str">
        <x:v>measure</x:v>
      </x:c>
      <x:c r="H33" s="42"/>
      <x:c r="I33" s="42" t="str">
        <x:v>Sundry liabilities</x:v>
      </x:c>
      <x:c r="J33" s="42" t="str">
        <x:v>sundry_liabilities</x:v>
      </x:c>
      <x:c r="K33" s="42" t="str">
        <x:v>empty CSV field; never implicit zero</x:v>
      </x:c>
      <x:c r="L33" s="42" t="str">
        <x:v>data/observations_long.csv; metadata/raw_to_analytic.csv</x:v>
      </x:c>
      <x:c r="M33" s="2"/>
      <x:c r="N33" s="2"/>
    </x:row>
    <x:row r="34" ht="36" customHeight="1">
      <x:c r="A34" s="41" t="str">
        <x:v>annual_balance_sheet</x:v>
      </x:c>
      <x:c r="B34" s="41" t="str">
        <x:v>total_liabilities</x:v>
      </x:c>
      <x:c r="C34" s="41" t="str">
        <x:v>Total liabilities, separately transcribed</x:v>
      </x:c>
      <x:c r="D34" s="41" t="str">
        <x:v>Original total where transcribed; not automatically filled from assets in the raw column.</x:v>
      </x:c>
      <x:c r="E34" s="41" t="str">
        <x:v>number</x:v>
      </x:c>
      <x:c r="F34" s="41" t="str">
        <x:v>million_kc_nominal</x:v>
      </x:c>
      <x:c r="G34" s="41" t="str">
        <x:v>measure</x:v>
      </x:c>
      <x:c r="H34" s="41"/>
      <x:c r="I34" s="41" t="str">
        <x:v>Total liabilities, separately transcribed</x:v>
      </x:c>
      <x:c r="J34" s="41" t="str">
        <x:v>total_liabilities</x:v>
      </x:c>
      <x:c r="K34" s="41" t="str">
        <x:v>empty CSV field; never implicit zero</x:v>
      </x:c>
      <x:c r="L34" s="41" t="str">
        <x:v>data/observations_long.csv; metadata/raw_to_analytic.csv</x:v>
      </x:c>
      <x:c r="M34" s="2"/>
      <x:c r="N34" s="2"/>
    </x:row>
    <x:row r="35" ht="36" customHeight="1">
      <x:c r="A35" s="42" t="str">
        <x:v>annual_balance_sheet</x:v>
      </x:c>
      <x:c r="B35" s="42" t="str">
        <x:v>source_ids</x:v>
      </x:c>
      <x:c r="C35" s="42" t="str">
        <x:v>Source ids</x:v>
      </x:c>
      <x:c r="D35" s="42" t="str">
        <x:v>Semicolon-separated source identifiers joining metadata/source_index.csv.</x:v>
      </x:c>
      <x:c r="E35" s="42" t="str">
        <x:v>string</x:v>
      </x:c>
      <x:c r="F35" s="42"/>
      <x:c r="G35" s="42" t="str">
        <x:v>provenance_or_identifier</x:v>
      </x:c>
      <x:c r="H35" s="42"/>
      <x:c r="I35" s="42"/>
      <x:c r="J35" s="42"/>
      <x:c r="K35" s="42" t="str">
        <x:v>empty CSV field; never implicit zero</x:v>
      </x:c>
      <x:c r="L35" s="42" t="str">
        <x:v>data/observations_long.csv; metadata/raw_to_analytic.csv</x:v>
      </x:c>
      <x:c r="M35" s="2"/>
      <x:c r="N35" s="2"/>
    </x:row>
    <x:row r="36" ht="36" customHeight="1">
      <x:c r="A36" s="41" t="str">
        <x:v>annual_balance_sheet</x:v>
      </x:c>
      <x:c r="B36" s="41" t="str">
        <x:v>source_entry_ids</x:v>
      </x:c>
      <x:c r="C36" s="41" t="str">
        <x:v>Source entry ids</x:v>
      </x:c>
      <x:c r="D36" s="41" t="str">
        <x:v>Semicolon-separated source-table entries joining metadata/source_entry_index.csv.</x:v>
      </x:c>
      <x:c r="E36" s="41" t="str">
        <x:v>string</x:v>
      </x:c>
      <x:c r="F36" s="41"/>
      <x:c r="G36" s="41" t="str">
        <x:v>provenance_or_identifier</x:v>
      </x:c>
      <x:c r="H36" s="41"/>
      <x:c r="I36" s="41"/>
      <x:c r="J36" s="41"/>
      <x:c r="K36" s="41" t="str">
        <x:v>empty CSV field; never implicit zero</x:v>
      </x:c>
      <x:c r="L36" s="41" t="str">
        <x:v>data/observations_long.csv; metadata/raw_to_analytic.csv</x:v>
      </x:c>
      <x:c r="M36" s="2"/>
      <x:c r="N36" s="2"/>
    </x:row>
    <x:row r="37" ht="36" customHeight="1">
      <x:c r="A37" s="42" t="str">
        <x:v>annual_balance_sheet</x:v>
      </x:c>
      <x:c r="B37" s="42" t="str">
        <x:v>flags</x:v>
      </x:c>
      <x:c r="C37" s="42" t="str">
        <x:v>Flags</x:v>
      </x:c>
      <x:c r="D37" s="42" t="str">
        <x:v>Semicolon-separated source or comparability exception codes; empty means no listed exception, not an assurance of universal comparability.</x:v>
      </x:c>
      <x:c r="E37" s="42" t="str">
        <x:v>string</x:v>
      </x:c>
      <x:c r="F37" s="42"/>
      <x:c r="G37" s="42" t="str">
        <x:v>provenance_or_identifier</x:v>
      </x:c>
      <x:c r="H37" s="42"/>
      <x:c r="I37" s="42"/>
      <x:c r="J37" s="42"/>
      <x:c r="K37" s="42" t="str">
        <x:v>empty CSV field; never implicit zero</x:v>
      </x:c>
      <x:c r="L37" s="42" t="str">
        <x:v>data/observations_long.csv; metadata/raw_to_analytic.csv</x:v>
      </x:c>
      <x:c r="M37" s="2"/>
      <x:c r="N37" s="2"/>
    </x:row>
    <x:row r="38" ht="36" customHeight="1">
      <x:c r="A38" s="41" t="str">
        <x:v>annual_balance_sheet</x:v>
      </x:c>
      <x:c r="B38" s="41" t="str">
        <x:v>cash_definition</x:v>
      </x:c>
      <x:c r="C38" s="41" t="str">
        <x:v>Cash definition</x:v>
      </x:c>
      <x:c r="D38" s="41" t="str">
        <x:v>Source definition of the separate or combined cash categories, retaining the 1931 classification boundary.</x:v>
      </x:c>
      <x:c r="E38" s="41" t="str">
        <x:v>string</x:v>
      </x:c>
      <x:c r="F38" s="41"/>
      <x:c r="G38" s="41" t="str">
        <x:v>provenance_or_identifier</x:v>
      </x:c>
      <x:c r="H38" s="41"/>
      <x:c r="I38" s="41"/>
      <x:c r="J38" s="41"/>
      <x:c r="K38" s="41" t="str">
        <x:v>empty CSV field; never implicit zero</x:v>
      </x:c>
      <x:c r="L38" s="41" t="str">
        <x:v>data/observations_long.csv; metadata/raw_to_analytic.csv</x:v>
      </x:c>
      <x:c r="M38" s="2"/>
      <x:c r="N38" s="2"/>
    </x:row>
    <x:row r="39" ht="36" customHeight="1">
      <x:c r="A39" s="42" t="str">
        <x:v>annual_balance_sheet</x:v>
      </x:c>
      <x:c r="B39" s="42" t="str">
        <x:v>deposit_definition</x:v>
      </x:c>
      <x:c r="C39" s="42" t="str">
        <x:v>Deposit definition</x:v>
      </x:c>
      <x:c r="D39" s="42" t="str">
        <x:v>Source definition of the deposit category, including the 1919 unseparated-bank-creditor exception.</x:v>
      </x:c>
      <x:c r="E39" s="42" t="str">
        <x:v>string</x:v>
      </x:c>
      <x:c r="F39" s="42"/>
      <x:c r="G39" s="42" t="str">
        <x:v>provenance_or_identifier</x:v>
      </x:c>
      <x:c r="H39" s="42"/>
      <x:c r="I39" s="42"/>
      <x:c r="J39" s="42"/>
      <x:c r="K39" s="42" t="str">
        <x:v>empty CSV field; never implicit zero</x:v>
      </x:c>
      <x:c r="L39" s="42" t="str">
        <x:v>data/observations_long.csv; metadata/raw_to_analytic.csv</x:v>
      </x:c>
      <x:c r="M39" s="2"/>
      <x:c r="N39" s="2"/>
    </x:row>
    <x:row r="40" ht="36" customHeight="1">
      <x:c r="A40" s="41" t="str">
        <x:v>annual_income</x:v>
      </x:c>
      <x:c r="B40" s="41" t="str">
        <x:v>year</x:v>
      </x:c>
      <x:c r="C40" s="41" t="str">
        <x:v>Year</x:v>
      </x:c>
      <x:c r="D40" s="41" t="str">
        <x:v>Calendar year of the observation; balance-sheet stocks are year-end unless a source-date field says otherwise.</x:v>
      </x:c>
      <x:c r="E40" s="41" t="str">
        <x:v>integer</x:v>
      </x:c>
      <x:c r="F40" s="41"/>
      <x:c r="G40" s="41" t="str">
        <x:v>provenance_or_identifier</x:v>
      </x:c>
      <x:c r="H40" s="41"/>
      <x:c r="I40" s="41"/>
      <x:c r="J40" s="41"/>
      <x:c r="K40" s="41" t="str">
        <x:v>empty CSV field; never implicit zero</x:v>
      </x:c>
      <x:c r="L40" s="41" t="str">
        <x:v>data/observations_long.csv; metadata/raw_to_analytic.csv</x:v>
      </x:c>
      <x:c r="M40" s="2"/>
      <x:c r="N40" s="2"/>
    </x:row>
    <x:row r="41" ht="36" customHeight="1">
      <x:c r="A41" s="42" t="str">
        <x:v>annual_income</x:v>
      </x:c>
      <x:c r="B41" s="42" t="str">
        <x:v>population_id</x:v>
      </x:c>
      <x:c r="C41" s="42" t="str">
        <x:v>Population id</x:v>
      </x:c>
      <x:c r="D41" s="42" t="str">
        <x:v>Join key to metadata/population_definitions.csv; populations must not be pooled or added without a defined bridge.</x:v>
      </x:c>
      <x:c r="E41" s="42" t="str">
        <x:v>string</x:v>
      </x:c>
      <x:c r="F41" s="42"/>
      <x:c r="G41" s="42" t="str">
        <x:v>provenance_or_identifier</x:v>
      </x:c>
      <x:c r="H41" s="42"/>
      <x:c r="I41" s="42"/>
      <x:c r="J41" s="42"/>
      <x:c r="K41" s="42" t="str">
        <x:v>empty CSV field; never implicit zero</x:v>
      </x:c>
      <x:c r="L41" s="42" t="str">
        <x:v>data/observations_long.csv; metadata/raw_to_analytic.csv</x:v>
      </x:c>
      <x:c r="M41" s="2"/>
      <x:c r="N41" s="2"/>
    </x:row>
    <x:row r="42" ht="36" customHeight="1">
      <x:c r="A42" s="41" t="str">
        <x:v>annual_income</x:v>
      </x:c>
      <x:c r="B42" s="41" t="str">
        <x:v>bank_count</x:v>
      </x:c>
      <x:c r="C42" s="41" t="str">
        <x:v>Number of reporting banks</x:v>
      </x:c>
      <x:c r="D42" s="41" t="str">
        <x:v>Published count; changes do not identify entry, exit or mergers individually.</x:v>
      </x:c>
      <x:c r="E42" s="41" t="str">
        <x:v>number</x:v>
      </x:c>
      <x:c r="F42" s="41" t="str">
        <x:v>bank_count</x:v>
      </x:c>
      <x:c r="G42" s="41" t="str">
        <x:v>measure</x:v>
      </x:c>
      <x:c r="H42" s="41"/>
      <x:c r="I42" s="41" t="str">
        <x:v>Number of reporting banks</x:v>
      </x:c>
      <x:c r="J42" s="41" t="str">
        <x:v>bank_count</x:v>
      </x:c>
      <x:c r="K42" s="41" t="str">
        <x:v>empty CSV field; never implicit zero</x:v>
      </x:c>
      <x:c r="L42" s="41" t="str">
        <x:v>data/observations_long.csv; metadata/raw_to_analytic.csv</x:v>
      </x:c>
      <x:c r="M42" s="2"/>
      <x:c r="N42" s="2"/>
    </x:row>
    <x:row r="43" ht="36" customHeight="1">
      <x:c r="A43" s="42" t="str">
        <x:v>annual_income</x:v>
      </x:c>
      <x:c r="B43" s="42" t="str">
        <x:v>capital_paid</x:v>
      </x:c>
      <x:c r="C43" s="42" t="str">
        <x:v>Paid-up capital</x:v>
      </x:c>
      <x:c r="D43" s="42" t="str">
        <x:v>Reported paid-in share capital; not risk-weighted regulatory capital.</x:v>
      </x:c>
      <x:c r="E43" s="42" t="str">
        <x:v>number</x:v>
      </x:c>
      <x:c r="F43" s="42" t="str">
        <x:v>million_kc_nominal</x:v>
      </x:c>
      <x:c r="G43" s="42" t="str">
        <x:v>measure</x:v>
      </x:c>
      <x:c r="H43" s="42"/>
      <x:c r="I43" s="42" t="str">
        <x:v>Paid-up capital</x:v>
      </x:c>
      <x:c r="J43" s="42" t="str">
        <x:v>capital_paid</x:v>
      </x:c>
      <x:c r="K43" s="42" t="str">
        <x:v>empty CSV field; never implicit zero</x:v>
      </x:c>
      <x:c r="L43" s="42" t="str">
        <x:v>data/observations_long.csv; metadata/raw_to_analytic.csv</x:v>
      </x:c>
      <x:c r="M43" s="2"/>
      <x:c r="N43" s="2"/>
    </x:row>
    <x:row r="44" ht="36" customHeight="1">
      <x:c r="A44" s="41" t="str">
        <x:v>annual_income</x:v>
      </x:c>
      <x:c r="B44" s="41" t="str">
        <x:v>reserves_undivided</x:v>
      </x:c>
      <x:c r="C44" s="41" t="str">
        <x:v>P&amp;L reserves and undivided profits</x:v>
      </x:c>
      <x:c r="D44" s="41" t="str">
        <x:v>Capital denominator reported alongside the early P&amp;L; not identical to balance-sheet reserve_funds.</x:v>
      </x:c>
      <x:c r="E44" s="41" t="str">
        <x:v>number</x:v>
      </x:c>
      <x:c r="F44" s="41" t="str">
        <x:v>million_kc_nominal</x:v>
      </x:c>
      <x:c r="G44" s="41" t="str">
        <x:v>measure</x:v>
      </x:c>
      <x:c r="H44" s="41"/>
      <x:c r="I44" s="41" t="str">
        <x:v>P&amp;L reserves and undivided profits</x:v>
      </x:c>
      <x:c r="J44" s="41" t="str">
        <x:v>reserves_undivided</x:v>
      </x:c>
      <x:c r="K44" s="41" t="str">
        <x:v>empty CSV field; never implicit zero</x:v>
      </x:c>
      <x:c r="L44" s="41" t="str">
        <x:v>data/observations_long.csv; metadata/raw_to_analytic.csv</x:v>
      </x:c>
      <x:c r="M44" s="2"/>
      <x:c r="N44" s="2"/>
    </x:row>
    <x:row r="45" ht="36" customHeight="1">
      <x:c r="A45" s="42" t="str">
        <x:v>annual_income</x:v>
      </x:c>
      <x:c r="B45" s="42" t="str">
        <x:v>gross_profits</x:v>
      </x:c>
      <x:c r="C45" s="42" t="str">
        <x:v>Gross profits</x:v>
      </x:c>
      <x:c r="D45" s="42" t="str">
        <x:v>Published operating income including NET interest/discounts, commissions, securities/participation results and sundry net profits.</x:v>
      </x:c>
      <x:c r="E45" s="42" t="str">
        <x:v>number</x:v>
      </x:c>
      <x:c r="F45" s="42" t="str">
        <x:v>million_kc_nominal</x:v>
      </x:c>
      <x:c r="G45" s="42" t="str">
        <x:v>measure</x:v>
      </x:c>
      <x:c r="H45" s="42"/>
      <x:c r="I45" s="42" t="str">
        <x:v>Gross profits</x:v>
      </x:c>
      <x:c r="J45" s="42" t="str">
        <x:v>gross_profits</x:v>
      </x:c>
      <x:c r="K45" s="42" t="str">
        <x:v>empty CSV field; never implicit zero</x:v>
      </x:c>
      <x:c r="L45" s="42" t="str">
        <x:v>data/observations_long.csv; metadata/raw_to_analytic.csv</x:v>
      </x:c>
      <x:c r="M45" s="2"/>
      <x:c r="N45" s="2"/>
    </x:row>
    <x:row r="46" ht="36" customHeight="1">
      <x:c r="A46" s="41" t="str">
        <x:v>annual_income</x:v>
      </x:c>
      <x:c r="B46" s="41" t="str">
        <x:v>expenses_total</x:v>
      </x:c>
      <x:c r="C46" s="41" t="str">
        <x:v>Operating expenses</x:v>
      </x:c>
      <x:c r="D46" s="41" t="str">
        <x:v>Salaries + other working expenses + taxes; interest paid is already deducted from net interest income.</x:v>
      </x:c>
      <x:c r="E46" s="41" t="str">
        <x:v>number</x:v>
      </x:c>
      <x:c r="F46" s="41" t="str">
        <x:v>million_kc_nominal</x:v>
      </x:c>
      <x:c r="G46" s="41" t="str">
        <x:v>measure</x:v>
      </x:c>
      <x:c r="H46" s="41"/>
      <x:c r="I46" s="41" t="str">
        <x:v>Operating expenses</x:v>
      </x:c>
      <x:c r="J46" s="41" t="str">
        <x:v>expenses_total</x:v>
      </x:c>
      <x:c r="K46" s="41" t="str">
        <x:v>empty CSV field; never implicit zero</x:v>
      </x:c>
      <x:c r="L46" s="41" t="str">
        <x:v>data/observations_long.csv; metadata/raw_to_analytic.csv</x:v>
      </x:c>
      <x:c r="M46" s="2"/>
      <x:c r="N46" s="2"/>
    </x:row>
    <x:row r="47" ht="36" customHeight="1">
      <x:c r="A47" s="42" t="str">
        <x:v>annual_income</x:v>
      </x:c>
      <x:c r="B47" s="42" t="str">
        <x:v>salaries</x:v>
      </x:c>
      <x:c r="C47" s="42" t="str">
        <x:v>Salaries</x:v>
      </x:c>
      <x:c r="D47" s="42" t="str">
        <x:v>Published component retained without imputation; the original label and source notes are preserved in source_records.csv.</x:v>
      </x:c>
      <x:c r="E47" s="42" t="str">
        <x:v>number</x:v>
      </x:c>
      <x:c r="F47" s="42" t="str">
        <x:v>million_kc_nominal</x:v>
      </x:c>
      <x:c r="G47" s="42" t="str">
        <x:v>measure</x:v>
      </x:c>
      <x:c r="H47" s="42"/>
      <x:c r="I47" s="42" t="str">
        <x:v>Salaries</x:v>
      </x:c>
      <x:c r="J47" s="42" t="str">
        <x:v>salaries</x:v>
      </x:c>
      <x:c r="K47" s="42" t="str">
        <x:v>empty CSV field; never implicit zero</x:v>
      </x:c>
      <x:c r="L47" s="42" t="str">
        <x:v>data/observations_long.csv; metadata/raw_to_analytic.csv</x:v>
      </x:c>
      <x:c r="M47" s="2"/>
      <x:c r="N47" s="2"/>
    </x:row>
    <x:row r="48" ht="36" customHeight="1">
      <x:c r="A48" s="41" t="str">
        <x:v>annual_income</x:v>
      </x:c>
      <x:c r="B48" s="41" t="str">
        <x:v>other_working_expenses</x:v>
      </x:c>
      <x:c r="C48" s="41" t="str">
        <x:v>Other working expenses</x:v>
      </x:c>
      <x:c r="D48" s="41" t="str">
        <x:v>Published component retained without imputation; the original label and source notes are preserved in source_records.csv.</x:v>
      </x:c>
      <x:c r="E48" s="41" t="str">
        <x:v>number</x:v>
      </x:c>
      <x:c r="F48" s="41" t="str">
        <x:v>million_kc_nominal</x:v>
      </x:c>
      <x:c r="G48" s="41" t="str">
        <x:v>measure</x:v>
      </x:c>
      <x:c r="H48" s="41"/>
      <x:c r="I48" s="41" t="str">
        <x:v>Other working expenses</x:v>
      </x:c>
      <x:c r="J48" s="41" t="str">
        <x:v>other_working_expenses</x:v>
      </x:c>
      <x:c r="K48" s="41" t="str">
        <x:v>empty CSV field; never implicit zero</x:v>
      </x:c>
      <x:c r="L48" s="41" t="str">
        <x:v>data/observations_long.csv; metadata/raw_to_analytic.csv</x:v>
      </x:c>
      <x:c r="M48" s="2"/>
      <x:c r="N48" s="2"/>
    </x:row>
    <x:row r="49" ht="36" customHeight="1">
      <x:c r="A49" s="42" t="str">
        <x:v>annual_income</x:v>
      </x:c>
      <x:c r="B49" s="42" t="str">
        <x:v>taxes</x:v>
      </x:c>
      <x:c r="C49" s="42" t="str">
        <x:v>Taxes</x:v>
      </x:c>
      <x:c r="D49" s="42" t="str">
        <x:v>Published component retained without imputation; the original label and source notes are preserved in source_records.csv.</x:v>
      </x:c>
      <x:c r="E49" s="42" t="str">
        <x:v>number</x:v>
      </x:c>
      <x:c r="F49" s="42" t="str">
        <x:v>million_kc_nominal</x:v>
      </x:c>
      <x:c r="G49" s="42" t="str">
        <x:v>measure</x:v>
      </x:c>
      <x:c r="H49" s="42"/>
      <x:c r="I49" s="42" t="str">
        <x:v>Taxes</x:v>
      </x:c>
      <x:c r="J49" s="42" t="str">
        <x:v>taxes</x:v>
      </x:c>
      <x:c r="K49" s="42" t="str">
        <x:v>empty CSV field; never implicit zero</x:v>
      </x:c>
      <x:c r="L49" s="42" t="str">
        <x:v>data/observations_long.csv; metadata/raw_to_analytic.csv</x:v>
      </x:c>
      <x:c r="M49" s="2"/>
      <x:c r="N49" s="2"/>
    </x:row>
    <x:row r="50" ht="36" customHeight="1">
      <x:c r="A50" s="41" t="str">
        <x:v>annual_income</x:v>
      </x:c>
      <x:c r="B50" s="41" t="str">
        <x:v>pension_other_reserves</x:v>
      </x:c>
      <x:c r="C50" s="41" t="str">
        <x:v>Allocations to pensions and related funds</x:v>
      </x:c>
      <x:c r="D50" s="41" t="str">
        <x:v>Annual P&amp;L deduction, distinct from the stock of reserve funds on the balance sheet.</x:v>
      </x:c>
      <x:c r="E50" s="41" t="str">
        <x:v>number</x:v>
      </x:c>
      <x:c r="F50" s="41" t="str">
        <x:v>million_kc_nominal</x:v>
      </x:c>
      <x:c r="G50" s="41" t="str">
        <x:v>measure</x:v>
      </x:c>
      <x:c r="H50" s="41"/>
      <x:c r="I50" s="41" t="str">
        <x:v>Allocations to pensions and related funds</x:v>
      </x:c>
      <x:c r="J50" s="41" t="str">
        <x:v>pension_other_reserves</x:v>
      </x:c>
      <x:c r="K50" s="41" t="str">
        <x:v>empty CSV field; never implicit zero</x:v>
      </x:c>
      <x:c r="L50" s="41" t="str">
        <x:v>data/observations_long.csv; metadata/raw_to_analytic.csv</x:v>
      </x:c>
      <x:c r="M50" s="2"/>
      <x:c r="N50" s="2"/>
    </x:row>
    <x:row r="51" ht="36" customHeight="1">
      <x:c r="A51" s="42" t="str">
        <x:v>annual_income</x:v>
      </x:c>
      <x:c r="B51" s="42" t="str">
        <x:v>writeoffs_total</x:v>
      </x:c>
      <x:c r="C51" s="42" t="str">
        <x:v>Total write-offs</x:v>
      </x:c>
      <x:c r="D51" s="42" t="str">
        <x:v>Published write-offs across asset categories; not a loan-default or non-performing-loan rate.</x:v>
      </x:c>
      <x:c r="E51" s="42" t="str">
        <x:v>number</x:v>
      </x:c>
      <x:c r="F51" s="42" t="str">
        <x:v>million_kc_nominal</x:v>
      </x:c>
      <x:c r="G51" s="42" t="str">
        <x:v>measure</x:v>
      </x:c>
      <x:c r="H51" s="42"/>
      <x:c r="I51" s="42" t="str">
        <x:v>Total write-offs</x:v>
      </x:c>
      <x:c r="J51" s="42" t="str">
        <x:v>writeoffs_total</x:v>
      </x:c>
      <x:c r="K51" s="42" t="str">
        <x:v>empty CSV field; never implicit zero</x:v>
      </x:c>
      <x:c r="L51" s="42" t="str">
        <x:v>data/observations_long.csv; metadata/raw_to_analytic.csv</x:v>
      </x:c>
      <x:c r="M51" s="2"/>
      <x:c r="N51" s="2"/>
    </x:row>
    <x:row r="52" ht="36" customHeight="1">
      <x:c r="A52" s="41" t="str">
        <x:v>annual_income</x:v>
      </x:c>
      <x:c r="B52" s="41" t="str">
        <x:v>net_profit_loss</x:v>
      </x:c>
      <x:c r="C52" s="41" t="str">
        <x:v>Remaining annual net profit or loss</x:v>
      </x:c>
      <x:c r="D52" s="41" t="str">
        <x:v>Signed annual P&amp;L result, including -607 in 1931 and -4 in 1934; distinct from pnl_balance.</x:v>
      </x:c>
      <x:c r="E52" s="41" t="str">
        <x:v>number</x:v>
      </x:c>
      <x:c r="F52" s="41" t="str">
        <x:v>million_kc_nominal</x:v>
      </x:c>
      <x:c r="G52" s="41" t="str">
        <x:v>measure</x:v>
      </x:c>
      <x:c r="H52" s="41"/>
      <x:c r="I52" s="41" t="str">
        <x:v>Remaining annual net profit or loss</x:v>
      </x:c>
      <x:c r="J52" s="41" t="str">
        <x:v>net_profit_loss</x:v>
      </x:c>
      <x:c r="K52" s="41" t="str">
        <x:v>empty CSV field; never implicit zero</x:v>
      </x:c>
      <x:c r="L52" s="41" t="str">
        <x:v>data/observations_long.csv; metadata/raw_to_analytic.csv</x:v>
      </x:c>
      <x:c r="M52" s="2"/>
      <x:c r="N52" s="2"/>
    </x:row>
    <x:row r="53" ht="36" customHeight="1">
      <x:c r="A53" s="42" t="str">
        <x:v>annual_income</x:v>
      </x:c>
      <x:c r="B53" s="42" t="str">
        <x:v>dividends</x:v>
      </x:c>
      <x:c r="C53" s="42" t="str">
        <x:v>Dividends</x:v>
      </x:c>
      <x:c r="D53" s="42" t="str">
        <x:v>Published component retained without imputation; the original label and source notes are preserved in source_records.csv.</x:v>
      </x:c>
      <x:c r="E53" s="42" t="str">
        <x:v>number</x:v>
      </x:c>
      <x:c r="F53" s="42" t="str">
        <x:v>million_kc_nominal</x:v>
      </x:c>
      <x:c r="G53" s="42" t="str">
        <x:v>measure</x:v>
      </x:c>
      <x:c r="H53" s="42"/>
      <x:c r="I53" s="42" t="str">
        <x:v>Dividends</x:v>
      </x:c>
      <x:c r="J53" s="42" t="str">
        <x:v>dividends</x:v>
      </x:c>
      <x:c r="K53" s="42" t="str">
        <x:v>empty CSV field; never implicit zero</x:v>
      </x:c>
      <x:c r="L53" s="42" t="str">
        <x:v>data/observations_long.csv; metadata/raw_to_analytic.csv</x:v>
      </x:c>
      <x:c r="M53" s="2"/>
      <x:c r="N53" s="2"/>
    </x:row>
    <x:row r="54" ht="36" customHeight="1">
      <x:c r="A54" s="41" t="str">
        <x:v>annual_income</x:v>
      </x:c>
      <x:c r="B54" s="41" t="str">
        <x:v>directors_fees</x:v>
      </x:c>
      <x:c r="C54" s="41" t="str">
        <x:v>Directors fees</x:v>
      </x:c>
      <x:c r="D54" s="41" t="str">
        <x:v>Published component retained without imputation; the original label and source notes are preserved in source_records.csv.</x:v>
      </x:c>
      <x:c r="E54" s="41" t="str">
        <x:v>number</x:v>
      </x:c>
      <x:c r="F54" s="41" t="str">
        <x:v>million_kc_nominal</x:v>
      </x:c>
      <x:c r="G54" s="41" t="str">
        <x:v>measure</x:v>
      </x:c>
      <x:c r="H54" s="41"/>
      <x:c r="I54" s="41" t="str">
        <x:v>Directors fees</x:v>
      </x:c>
      <x:c r="J54" s="41" t="str">
        <x:v>directors_fees</x:v>
      </x:c>
      <x:c r="K54" s="41" t="str">
        <x:v>empty CSV field; never implicit zero</x:v>
      </x:c>
      <x:c r="L54" s="41" t="str">
        <x:v>data/observations_long.csv; metadata/raw_to_analytic.csv</x:v>
      </x:c>
      <x:c r="M54" s="2"/>
      <x:c r="N54" s="2"/>
    </x:row>
    <x:row r="55" ht="36" customHeight="1">
      <x:c r="A55" s="42" t="str">
        <x:v>annual_income</x:v>
      </x:c>
      <x:c r="B55" s="42" t="str">
        <x:v>profit_brought_forward</x:v>
      </x:c>
      <x:c r="C55" s="42" t="str">
        <x:v>Profit or loss brought forward</x:v>
      </x:c>
      <x:c r="D55" s="42" t="str">
        <x:v>Published signed balance carried from the preceding year; not assumed equal to the preceding aggregate's carried-forward amount.</x:v>
      </x:c>
      <x:c r="E55" s="42" t="str">
        <x:v>number</x:v>
      </x:c>
      <x:c r="F55" s="42" t="str">
        <x:v>million_kc_nominal</x:v>
      </x:c>
      <x:c r="G55" s="42" t="str">
        <x:v>measure</x:v>
      </x:c>
      <x:c r="H55" s="42"/>
      <x:c r="I55" s="42" t="str">
        <x:v>Profit or loss brought forward</x:v>
      </x:c>
      <x:c r="J55" s="42" t="str">
        <x:v>profit_brought_forward</x:v>
      </x:c>
      <x:c r="K55" s="42" t="str">
        <x:v>empty CSV field; never implicit zero</x:v>
      </x:c>
      <x:c r="L55" s="42" t="str">
        <x:v>data/observations_long.csv; metadata/raw_to_analytic.csv</x:v>
      </x:c>
      <x:c r="M55" s="2"/>
      <x:c r="N55" s="2"/>
    </x:row>
    <x:row r="56" ht="36" customHeight="1">
      <x:c r="A56" s="41" t="str">
        <x:v>annual_income</x:v>
      </x:c>
      <x:c r="B56" s="41" t="str">
        <x:v>profit_carried_forward</x:v>
      </x:c>
      <x:c r="C56" s="41" t="str">
        <x:v>Profit or loss carried forward</x:v>
      </x:c>
      <x:c r="D56" s="41" t="str">
        <x:v>Published signed balance carried to the following year; aggregate membership and accounting revisions can break the inter-year identity.</x:v>
      </x:c>
      <x:c r="E56" s="41" t="str">
        <x:v>number</x:v>
      </x:c>
      <x:c r="F56" s="41" t="str">
        <x:v>million_kc_nominal</x:v>
      </x:c>
      <x:c r="G56" s="41" t="str">
        <x:v>measure</x:v>
      </x:c>
      <x:c r="H56" s="41"/>
      <x:c r="I56" s="41" t="str">
        <x:v>Profit or loss carried forward</x:v>
      </x:c>
      <x:c r="J56" s="41" t="str">
        <x:v>profit_carried_forward</x:v>
      </x:c>
      <x:c r="K56" s="41" t="str">
        <x:v>empty CSV field; never implicit zero</x:v>
      </x:c>
      <x:c r="L56" s="41" t="str">
        <x:v>data/observations_long.csv; metadata/raw_to_analytic.csv</x:v>
      </x:c>
      <x:c r="M56" s="2"/>
      <x:c r="N56" s="2"/>
    </x:row>
    <x:row r="57" ht="36" customHeight="1">
      <x:c r="A57" s="42" t="str">
        <x:v>annual_income</x:v>
      </x:c>
      <x:c r="B57" s="42" t="str">
        <x:v>profit_to_reserves</x:v>
      </x:c>
      <x:c r="C57" s="42" t="str">
        <x:v>Profit to reserves</x:v>
      </x:c>
      <x:c r="D57" s="42" t="str">
        <x:v>Published component retained without imputation; the original label and source notes are preserved in source_records.csv.</x:v>
      </x:c>
      <x:c r="E57" s="42" t="str">
        <x:v>number</x:v>
      </x:c>
      <x:c r="F57" s="42" t="str">
        <x:v>million_kc_nominal</x:v>
      </x:c>
      <x:c r="G57" s="42" t="str">
        <x:v>measure</x:v>
      </x:c>
      <x:c r="H57" s="42"/>
      <x:c r="I57" s="42" t="str">
        <x:v>Profit to reserves</x:v>
      </x:c>
      <x:c r="J57" s="42" t="str">
        <x:v>profit_to_reserves</x:v>
      </x:c>
      <x:c r="K57" s="42" t="str">
        <x:v>empty CSV field; never implicit zero</x:v>
      </x:c>
      <x:c r="L57" s="42" t="str">
        <x:v>data/observations_long.csv; metadata/raw_to_analytic.csv</x:v>
      </x:c>
      <x:c r="M57" s="2"/>
      <x:c r="N57" s="2"/>
    </x:row>
    <x:row r="58" ht="36" customHeight="1">
      <x:c r="A58" s="41" t="str">
        <x:v>annual_income</x:v>
      </x:c>
      <x:c r="B58" s="41" t="str">
        <x:v>capital_reserve_draws</x:v>
      </x:c>
      <x:c r="C58" s="41" t="str">
        <x:v>Drawings on reserves or capital</x:v>
      </x:c>
      <x:c r="D58" s="41" t="str">
        <x:v>Published amount taken from reserves/capital to finance distribution or cover losses; 642 million in 1931.</x:v>
      </x:c>
      <x:c r="E58" s="41" t="str">
        <x:v>number</x:v>
      </x:c>
      <x:c r="F58" s="41" t="str">
        <x:v>million_kc_nominal</x:v>
      </x:c>
      <x:c r="G58" s="41" t="str">
        <x:v>measure</x:v>
      </x:c>
      <x:c r="H58" s="41"/>
      <x:c r="I58" s="41" t="str">
        <x:v>Drawings on reserves or capital</x:v>
      </x:c>
      <x:c r="J58" s="41" t="str">
        <x:v>capital_reserve_draws</x:v>
      </x:c>
      <x:c r="K58" s="41" t="str">
        <x:v>empty CSV field; never implicit zero</x:v>
      </x:c>
      <x:c r="L58" s="41" t="str">
        <x:v>data/observations_long.csv; metadata/raw_to_analytic.csv</x:v>
      </x:c>
      <x:c r="M58" s="2"/>
      <x:c r="N58" s="2"/>
    </x:row>
    <x:row r="59" ht="36" customHeight="1">
      <x:c r="A59" s="42" t="str">
        <x:v>annual_income</x:v>
      </x:c>
      <x:c r="B59" s="42" t="str">
        <x:v>writeoffs_securities</x:v>
      </x:c>
      <x:c r="C59" s="42" t="str">
        <x:v>Write-offs of investments and securities</x:v>
      </x:c>
      <x:c r="D59" s="42" t="str">
        <x:v>Published separate securities component; 676 million in 1931.</x:v>
      </x:c>
      <x:c r="E59" s="42" t="str">
        <x:v>number</x:v>
      </x:c>
      <x:c r="F59" s="42" t="str">
        <x:v>million_kc_nominal</x:v>
      </x:c>
      <x:c r="G59" s="42" t="str">
        <x:v>measure</x:v>
      </x:c>
      <x:c r="H59" s="42"/>
      <x:c r="I59" s="42" t="str">
        <x:v>Write-offs of investments and securities</x:v>
      </x:c>
      <x:c r="J59" s="42" t="str">
        <x:v>writeoffs_securities</x:v>
      </x:c>
      <x:c r="K59" s="42" t="str">
        <x:v>empty CSV field; never implicit zero</x:v>
      </x:c>
      <x:c r="L59" s="42" t="str">
        <x:v>data/observations_long.csv; metadata/raw_to_analytic.csv</x:v>
      </x:c>
      <x:c r="M59" s="2"/>
      <x:c r="N59" s="2"/>
    </x:row>
    <x:row r="60" ht="36" customHeight="1">
      <x:c r="A60" s="41" t="str">
        <x:v>annual_income</x:v>
      </x:c>
      <x:c r="B60" s="41" t="str">
        <x:v>writeoffs_premises</x:v>
      </x:c>
      <x:c r="C60" s="41" t="str">
        <x:v>Write-offs of premises</x:v>
      </x:c>
      <x:c r="D60" s="41" t="str">
        <x:v>Published premises component; 12 million in 1931.</x:v>
      </x:c>
      <x:c r="E60" s="41" t="str">
        <x:v>number</x:v>
      </x:c>
      <x:c r="F60" s="41" t="str">
        <x:v>million_kc_nominal</x:v>
      </x:c>
      <x:c r="G60" s="41" t="str">
        <x:v>measure</x:v>
      </x:c>
      <x:c r="H60" s="41"/>
      <x:c r="I60" s="41" t="str">
        <x:v>Write-offs of premises</x:v>
      </x:c>
      <x:c r="J60" s="41" t="str">
        <x:v>writeoffs_premises</x:v>
      </x:c>
      <x:c r="K60" s="41" t="str">
        <x:v>empty CSV field; never implicit zero</x:v>
      </x:c>
      <x:c r="L60" s="41" t="str">
        <x:v>data/observations_long.csv; metadata/raw_to_analytic.csv</x:v>
      </x:c>
      <x:c r="M60" s="2"/>
      <x:c r="N60" s="2"/>
    </x:row>
    <x:row r="61" ht="36" customHeight="1">
      <x:c r="A61" s="42" t="str">
        <x:v>annual_income</x:v>
      </x:c>
      <x:c r="B61" s="42" t="str">
        <x:v>writeoffs_other_assets</x:v>
      </x:c>
      <x:c r="C61" s="42" t="str">
        <x:v>Write-offs of other assets</x:v>
      </x:c>
      <x:c r="D61" s="42" t="str">
        <x:v>Unspecified other-asset component; 5 million in 1931; not identified as loan losses.</x:v>
      </x:c>
      <x:c r="E61" s="42" t="str">
        <x:v>number</x:v>
      </x:c>
      <x:c r="F61" s="42" t="str">
        <x:v>million_kc_nominal</x:v>
      </x:c>
      <x:c r="G61" s="42" t="str">
        <x:v>measure</x:v>
      </x:c>
      <x:c r="H61" s="42"/>
      <x:c r="I61" s="42" t="str">
        <x:v>Write-offs of other assets</x:v>
      </x:c>
      <x:c r="J61" s="42" t="str">
        <x:v>writeoffs_other_assets</x:v>
      </x:c>
      <x:c r="K61" s="42" t="str">
        <x:v>empty CSV field; never implicit zero</x:v>
      </x:c>
      <x:c r="L61" s="42" t="str">
        <x:v>data/observations_long.csv; metadata/raw_to_analytic.csv</x:v>
      </x:c>
      <x:c r="M61" s="2"/>
      <x:c r="N61" s="2"/>
    </x:row>
    <x:row r="62" ht="36" customHeight="1">
      <x:c r="A62" s="41" t="str">
        <x:v>annual_income</x:v>
      </x:c>
      <x:c r="B62" s="41" t="str">
        <x:v>writeoffs_investments_other_combined</x:v>
      </x:c>
      <x:c r="C62" s="41" t="str">
        <x:v>Combined securities and other-asset write-offs</x:v>
      </x:c>
      <x:c r="D62" s="41" t="str">
        <x:v>Bracketed combined amount where source does not separate the categories; do not add to separately recorded total write-offs.</x:v>
      </x:c>
      <x:c r="E62" s="41" t="str">
        <x:v>number</x:v>
      </x:c>
      <x:c r="F62" s="41" t="str">
        <x:v>million_kc_nominal</x:v>
      </x:c>
      <x:c r="G62" s="41" t="str">
        <x:v>measure</x:v>
      </x:c>
      <x:c r="H62" s="41"/>
      <x:c r="I62" s="41" t="str">
        <x:v>Combined securities and other-asset write-offs</x:v>
      </x:c>
      <x:c r="J62" s="41" t="str">
        <x:v>writeoffs_investments_other_combined</x:v>
      </x:c>
      <x:c r="K62" s="41" t="str">
        <x:v>empty CSV field; never implicit zero</x:v>
      </x:c>
      <x:c r="L62" s="41" t="str">
        <x:v>data/observations_long.csv; metadata/raw_to_analytic.csv</x:v>
      </x:c>
      <x:c r="M62" s="2"/>
      <x:c r="N62" s="2"/>
    </x:row>
    <x:row r="63" ht="36" customHeight="1">
      <x:c r="A63" s="42" t="str">
        <x:v>annual_income</x:v>
      </x:c>
      <x:c r="B63" s="42" t="str">
        <x:v>total_disposed_for_dividends_etc</x:v>
      </x:c>
      <x:c r="C63" s="42" t="str">
        <x:v>Total disposed for dividends etc</x:v>
      </x:c>
      <x:c r="D63" s="42" t="str">
        <x:v>Published component retained without imputation; the original label and source notes are preserved in source_records.csv.</x:v>
      </x:c>
      <x:c r="E63" s="42" t="str">
        <x:v>number</x:v>
      </x:c>
      <x:c r="F63" s="42" t="str">
        <x:v>million_kc_nominal</x:v>
      </x:c>
      <x:c r="G63" s="42" t="str">
        <x:v>measure</x:v>
      </x:c>
      <x:c r="H63" s="42"/>
      <x:c r="I63" s="42" t="str">
        <x:v>Total disposed for dividends etc</x:v>
      </x:c>
      <x:c r="J63" s="42" t="str">
        <x:v>total_disposed_for_dividends_etc</x:v>
      </x:c>
      <x:c r="K63" s="42" t="str">
        <x:v>empty CSV field; never implicit zero</x:v>
      </x:c>
      <x:c r="L63" s="42" t="str">
        <x:v>data/observations_long.csv; metadata/raw_to_analytic.csv</x:v>
      </x:c>
      <x:c r="M63" s="2"/>
      <x:c r="N63" s="2"/>
    </x:row>
    <x:row r="64" ht="36" customHeight="1">
      <x:c r="A64" s="41" t="str">
        <x:v>annual_income</x:v>
      </x:c>
      <x:c r="B64" s="41" t="str">
        <x:v>source_ids</x:v>
      </x:c>
      <x:c r="C64" s="41" t="str">
        <x:v>Source ids</x:v>
      </x:c>
      <x:c r="D64" s="41" t="str">
        <x:v>Semicolon-separated source identifiers joining metadata/source_index.csv.</x:v>
      </x:c>
      <x:c r="E64" s="41" t="str">
        <x:v>string</x:v>
      </x:c>
      <x:c r="F64" s="41"/>
      <x:c r="G64" s="41" t="str">
        <x:v>provenance_or_identifier</x:v>
      </x:c>
      <x:c r="H64" s="41"/>
      <x:c r="I64" s="41"/>
      <x:c r="J64" s="41"/>
      <x:c r="K64" s="41" t="str">
        <x:v>empty CSV field; never implicit zero</x:v>
      </x:c>
      <x:c r="L64" s="41" t="str">
        <x:v>data/observations_long.csv; metadata/raw_to_analytic.csv</x:v>
      </x:c>
      <x:c r="M64" s="2"/>
      <x:c r="N64" s="2"/>
    </x:row>
    <x:row r="65" ht="36" customHeight="1">
      <x:c r="A65" s="42" t="str">
        <x:v>annual_income</x:v>
      </x:c>
      <x:c r="B65" s="42" t="str">
        <x:v>source_entry_ids</x:v>
      </x:c>
      <x:c r="C65" s="42" t="str">
        <x:v>Source entry ids</x:v>
      </x:c>
      <x:c r="D65" s="42" t="str">
        <x:v>Semicolon-separated source-table entries joining metadata/source_entry_index.csv.</x:v>
      </x:c>
      <x:c r="E65" s="42" t="str">
        <x:v>string</x:v>
      </x:c>
      <x:c r="F65" s="42"/>
      <x:c r="G65" s="42" t="str">
        <x:v>provenance_or_identifier</x:v>
      </x:c>
      <x:c r="H65" s="42"/>
      <x:c r="I65" s="42"/>
      <x:c r="J65" s="42"/>
      <x:c r="K65" s="42" t="str">
        <x:v>empty CSV field; never implicit zero</x:v>
      </x:c>
      <x:c r="L65" s="42" t="str">
        <x:v>data/observations_long.csv; metadata/raw_to_analytic.csv</x:v>
      </x:c>
      <x:c r="M65" s="2"/>
      <x:c r="N65" s="2"/>
    </x:row>
    <x:row r="66" ht="36" customHeight="1">
      <x:c r="A66" s="41" t="str">
        <x:v>annual_income</x:v>
      </x:c>
      <x:c r="B66" s="41" t="str">
        <x:v>flags</x:v>
      </x:c>
      <x:c r="C66" s="41" t="str">
        <x:v>Flags</x:v>
      </x:c>
      <x:c r="D66" s="41" t="str">
        <x:v>Semicolon-separated source or comparability exception codes; empty means no listed exception, not an assurance of universal comparability.</x:v>
      </x:c>
      <x:c r="E66" s="41" t="str">
        <x:v>string</x:v>
      </x:c>
      <x:c r="F66" s="41"/>
      <x:c r="G66" s="41" t="str">
        <x:v>provenance_or_identifier</x:v>
      </x:c>
      <x:c r="H66" s="41"/>
      <x:c r="I66" s="41"/>
      <x:c r="J66" s="41"/>
      <x:c r="K66" s="41" t="str">
        <x:v>empty CSV field; never implicit zero</x:v>
      </x:c>
      <x:c r="L66" s="41" t="str">
        <x:v>data/observations_long.csv; metadata/raw_to_analytic.csv</x:v>
      </x:c>
      <x:c r="M66" s="2"/>
      <x:c r="N66" s="2"/>
    </x:row>
    <x:row r="67" ht="36" customHeight="1">
      <x:c r="A67" s="42" t="str">
        <x:v>annual_income</x:v>
      </x:c>
      <x:c r="B67" s="42" t="str">
        <x:v>balance_bank_count</x:v>
      </x:c>
      <x:c r="C67" s="42" t="str">
        <x:v>Balance bank count</x:v>
      </x:c>
      <x:c r="D67" s="42" t="str">
        <x:v>Published balance-sheet reporting count. Equal counts do not prove identical membership.</x:v>
      </x:c>
      <x:c r="E67" s="42" t="str">
        <x:v>integer</x:v>
      </x:c>
      <x:c r="F67" s="42"/>
      <x:c r="G67" s="42" t="str">
        <x:v>provenance_or_identifier</x:v>
      </x:c>
      <x:c r="H67" s="42"/>
      <x:c r="I67" s="42"/>
      <x:c r="J67" s="42"/>
      <x:c r="K67" s="42" t="str">
        <x:v>empty CSV field; never implicit zero</x:v>
      </x:c>
      <x:c r="L67" s="42" t="str">
        <x:v>data/observations_long.csv; metadata/raw_to_analytic.csv</x:v>
      </x:c>
      <x:c r="M67" s="2"/>
      <x:c r="N67" s="2"/>
    </x:row>
    <x:row r="68" ht="36" customHeight="1">
      <x:c r="A68" s="41" t="str">
        <x:v>annual_income</x:v>
      </x:c>
      <x:c r="B68" s="41" t="str">
        <x:v>income_balance_counts_match</x:v>
      </x:c>
      <x:c r="C68" s="41" t="str">
        <x:v>Income balance counts match</x:v>
      </x:c>
      <x:c r="D68" s="41" t="str">
        <x:v>True when published balance-sheet and income counts match. This does not establish identity of individual members.</x:v>
      </x:c>
      <x:c r="E68" s="41" t="str">
        <x:v>boolean</x:v>
      </x:c>
      <x:c r="F68" s="41"/>
      <x:c r="G68" s="41" t="str">
        <x:v>provenance_or_identifier</x:v>
      </x:c>
      <x:c r="H68" s="41"/>
      <x:c r="I68" s="41"/>
      <x:c r="J68" s="41"/>
      <x:c r="K68" s="41" t="str">
        <x:v>empty CSV field; never implicit zero</x:v>
      </x:c>
      <x:c r="L68" s="41" t="str">
        <x:v>data/observations_long.csv; metadata/raw_to_analytic.csv</x:v>
      </x:c>
      <x:c r="M68" s="2"/>
      <x:c r="N68" s="2"/>
    </x:row>
    <x:row r="69" ht="36" customHeight="1">
      <x:c r="A69" s="42" t="str">
        <x:v>annual_components</x:v>
      </x:c>
      <x:c r="B69" s="42" t="str">
        <x:v>year</x:v>
      </x:c>
      <x:c r="C69" s="42" t="str">
        <x:v>Year</x:v>
      </x:c>
      <x:c r="D69" s="42" t="str">
        <x:v>Calendar year of the observation; balance-sheet stocks are year-end unless a source-date field says otherwise.</x:v>
      </x:c>
      <x:c r="E69" s="42" t="str">
        <x:v>integer</x:v>
      </x:c>
      <x:c r="F69" s="42"/>
      <x:c r="G69" s="42" t="str">
        <x:v>provenance_or_identifier</x:v>
      </x:c>
      <x:c r="H69" s="42"/>
      <x:c r="I69" s="42"/>
      <x:c r="J69" s="42"/>
      <x:c r="K69" s="42" t="str">
        <x:v>empty CSV field; never implicit zero</x:v>
      </x:c>
      <x:c r="L69" s="42" t="str">
        <x:v>data/observations_long.csv; metadata/raw_to_analytic.csv</x:v>
      </x:c>
      <x:c r="M69" s="2"/>
      <x:c r="N69" s="2"/>
    </x:row>
    <x:row r="70" ht="36" customHeight="1">
      <x:c r="A70" s="41" t="str">
        <x:v>annual_components</x:v>
      </x:c>
      <x:c r="B70" s="41" t="str">
        <x:v>population_id</x:v>
      </x:c>
      <x:c r="C70" s="41" t="str">
        <x:v>Population id</x:v>
      </x:c>
      <x:c r="D70" s="41" t="str">
        <x:v>Join key to metadata/population_definitions.csv; populations must not be pooled or added without a defined bridge.</x:v>
      </x:c>
      <x:c r="E70" s="41" t="str">
        <x:v>string</x:v>
      </x:c>
      <x:c r="F70" s="41"/>
      <x:c r="G70" s="41" t="str">
        <x:v>provenance_or_identifier</x:v>
      </x:c>
      <x:c r="H70" s="41"/>
      <x:c r="I70" s="41"/>
      <x:c r="J70" s="41"/>
      <x:c r="K70" s="41" t="str">
        <x:v>empty CSV field; never implicit zero</x:v>
      </x:c>
      <x:c r="L70" s="41" t="str">
        <x:v>data/observations_long.csv; metadata/raw_to_analytic.csv</x:v>
      </x:c>
      <x:c r="M70" s="2"/>
      <x:c r="N70" s="2"/>
    </x:row>
    <x:row r="71" ht="36" customHeight="1">
      <x:c r="A71" s="42" t="str">
        <x:v>annual_components</x:v>
      </x:c>
      <x:c r="B71" s="42" t="str">
        <x:v>bonds_debentures_issued</x:v>
      </x:c>
      <x:c r="C71" s="42" t="str">
        <x:v>Bonds debentures issued</x:v>
      </x:c>
      <x:c r="D71" s="42" t="str">
        <x:v>Published component retained without imputation; the original label and source notes are preserved in source_records.csv.</x:v>
      </x:c>
      <x:c r="E71" s="42" t="str">
        <x:v>number</x:v>
      </x:c>
      <x:c r="F71" s="42" t="str">
        <x:v>million_kc_nominal</x:v>
      </x:c>
      <x:c r="G71" s="42" t="str">
        <x:v>measure</x:v>
      </x:c>
      <x:c r="H71" s="42"/>
      <x:c r="I71" s="42" t="str">
        <x:v>Bonds debentures issued</x:v>
      </x:c>
      <x:c r="J71" s="42" t="str">
        <x:v>bonds_debentures_issued</x:v>
      </x:c>
      <x:c r="K71" s="42" t="str">
        <x:v>empty CSV field; never implicit zero</x:v>
      </x:c>
      <x:c r="L71" s="42" t="str">
        <x:v>data/observations_long.csv; metadata/raw_to_analytic.csv</x:v>
      </x:c>
      <x:c r="M71" s="2"/>
      <x:c r="N71" s="2"/>
    </x:row>
    <x:row r="72" ht="36" customHeight="1">
      <x:c r="A72" s="41" t="str">
        <x:v>annual_components</x:v>
      </x:c>
      <x:c r="B72" s="41" t="str">
        <x:v>cash_category1_total</x:v>
      </x:c>
      <x:c r="C72" s="41" t="str">
        <x:v>Cash category1 total</x:v>
      </x:c>
      <x:c r="D72" s="41" t="str">
        <x:v>Published component retained without imputation; the original label and source notes are preserved in source_records.csv.</x:v>
      </x:c>
      <x:c r="E72" s="41" t="str">
        <x:v>number</x:v>
      </x:c>
      <x:c r="F72" s="41" t="str">
        <x:v>million_kc_nominal</x:v>
      </x:c>
      <x:c r="G72" s="41" t="str">
        <x:v>measure</x:v>
      </x:c>
      <x:c r="H72" s="41"/>
      <x:c r="I72" s="41" t="str">
        <x:v>Cash category1 total</x:v>
      </x:c>
      <x:c r="J72" s="41" t="str">
        <x:v>cash_category1_total</x:v>
      </x:c>
      <x:c r="K72" s="41" t="str">
        <x:v>empty CSV field; never implicit zero</x:v>
      </x:c>
      <x:c r="L72" s="41" t="str">
        <x:v>data/observations_long.csv; metadata/raw_to_analytic.csv</x:v>
      </x:c>
      <x:c r="M72" s="2"/>
      <x:c r="N72" s="2"/>
    </x:row>
    <x:row r="73" ht="36" customHeight="1">
      <x:c r="A73" s="42" t="str">
        <x:v>annual_components</x:v>
      </x:c>
      <x:c r="B73" s="42" t="str">
        <x:v>cash_certificates</x:v>
      </x:c>
      <x:c r="C73" s="42" t="str">
        <x:v>Cash certificates</x:v>
      </x:c>
      <x:c r="D73" s="42" t="str">
        <x:v>Kassenscheine included in the main savings/time deposit category.</x:v>
      </x:c>
      <x:c r="E73" s="42" t="str">
        <x:v>number</x:v>
      </x:c>
      <x:c r="F73" s="42" t="str">
        <x:v>million_kc_nominal</x:v>
      </x:c>
      <x:c r="G73" s="42" t="str">
        <x:v>measure</x:v>
      </x:c>
      <x:c r="H73" s="42"/>
      <x:c r="I73" s="42" t="str">
        <x:v>Cash certificates</x:v>
      </x:c>
      <x:c r="J73" s="42" t="str">
        <x:v>cash_certificates</x:v>
      </x:c>
      <x:c r="K73" s="42" t="str">
        <x:v>empty CSV field; never implicit zero</x:v>
      </x:c>
      <x:c r="L73" s="42" t="str">
        <x:v>data/observations_long.csv; metadata/raw_to_analytic.csv</x:v>
      </x:c>
      <x:c r="M73" s="2"/>
      <x:c r="N73" s="2"/>
    </x:row>
    <x:row r="74" ht="36" customHeight="1">
      <x:c r="A74" s="41" t="str">
        <x:v>annual_components</x:v>
      </x:c>
      <x:c r="B74" s="41" t="str">
        <x:v>cash_components_total</x:v>
      </x:c>
      <x:c r="C74" s="41" t="str">
        <x:v>Cash components total</x:v>
      </x:c>
      <x:c r="D74" s="41" t="str">
        <x:v>Published component retained without imputation; the original label and source notes are preserved in source_records.csv.</x:v>
      </x:c>
      <x:c r="E74" s="41" t="str">
        <x:v>number</x:v>
      </x:c>
      <x:c r="F74" s="41" t="str">
        <x:v>million_kc_nominal</x:v>
      </x:c>
      <x:c r="G74" s="41" t="str">
        <x:v>measure</x:v>
      </x:c>
      <x:c r="H74" s="41"/>
      <x:c r="I74" s="41" t="str">
        <x:v>Cash components total</x:v>
      </x:c>
      <x:c r="J74" s="41" t="str">
        <x:v>cash_components_total</x:v>
      </x:c>
      <x:c r="K74" s="41" t="str">
        <x:v>empty CSV field; never implicit zero</x:v>
      </x:c>
      <x:c r="L74" s="41" t="str">
        <x:v>data/observations_long.csv; metadata/raw_to_analytic.csv</x:v>
      </x:c>
      <x:c r="M74" s="2"/>
      <x:c r="N74" s="2"/>
    </x:row>
    <x:row r="75" ht="36" customHeight="1">
      <x:c r="A75" s="42" t="str">
        <x:v>annual_components</x:v>
      </x:c>
      <x:c r="B75" s="42" t="str">
        <x:v>cash_on_hand</x:v>
      </x:c>
      <x:c r="C75" s="42" t="str">
        <x:v>Cash on hand</x:v>
      </x:c>
      <x:c r="D75" s="42" t="str">
        <x:v>Published cash subcomponent; the 1931 reclassification changes item coverage.</x:v>
      </x:c>
      <x:c r="E75" s="42" t="str">
        <x:v>number</x:v>
      </x:c>
      <x:c r="F75" s="42" t="str">
        <x:v>million_kc_nominal</x:v>
      </x:c>
      <x:c r="G75" s="42" t="str">
        <x:v>measure</x:v>
      </x:c>
      <x:c r="H75" s="42"/>
      <x:c r="I75" s="42" t="str">
        <x:v>Cash on hand</x:v>
      </x:c>
      <x:c r="J75" s="42" t="str">
        <x:v>cash_on_hand</x:v>
      </x:c>
      <x:c r="K75" s="42" t="str">
        <x:v>empty CSV field; never implicit zero</x:v>
      </x:c>
      <x:c r="L75" s="42" t="str">
        <x:v>data/observations_long.csv; metadata/raw_to_analytic.csv</x:v>
      </x:c>
      <x:c r="M75" s="2"/>
      <x:c r="N75" s="2"/>
    </x:row>
    <x:row r="76" ht="36" customHeight="1">
      <x:c r="A76" s="41" t="str">
        <x:v>annual_components</x:v>
      </x:c>
      <x:c r="B76" s="41" t="str">
        <x:v>cash_on_hand_and_sight_balances_combined</x:v>
      </x:c>
      <x:c r="C76" s="41" t="str">
        <x:v>Cash on hand and sight balances combined</x:v>
      </x:c>
      <x:c r="D76" s="41" t="str">
        <x:v>Published component retained without imputation; the original label and source notes are preserved in source_records.csv.</x:v>
      </x:c>
      <x:c r="E76" s="41" t="str">
        <x:v>number</x:v>
      </x:c>
      <x:c r="F76" s="41" t="str">
        <x:v>million_kc_nominal</x:v>
      </x:c>
      <x:c r="G76" s="41" t="str">
        <x:v>measure</x:v>
      </x:c>
      <x:c r="H76" s="41"/>
      <x:c r="I76" s="41" t="str">
        <x:v>Cash on hand and sight balances combined</x:v>
      </x:c>
      <x:c r="J76" s="41" t="str">
        <x:v>cash_on_hand_and_sight_balances_combined</x:v>
      </x:c>
      <x:c r="K76" s="41" t="str">
        <x:v>empty CSV field; never implicit zero</x:v>
      </x:c>
      <x:c r="L76" s="41" t="str">
        <x:v>data/observations_long.csv; metadata/raw_to_analytic.csv</x:v>
      </x:c>
      <x:c r="M76" s="2"/>
      <x:c r="N76" s="2"/>
    </x:row>
    <x:row r="77" ht="36" customHeight="1">
      <x:c r="A77" s="42" t="str">
        <x:v>annual_components</x:v>
      </x:c>
      <x:c r="B77" s="42" t="str">
        <x:v>commercial_department_debtors</x:v>
      </x:c>
      <x:c r="C77" s="42" t="str">
        <x:v>Debtors of commercial departments</x:v>
      </x:c>
      <x:c r="D77" s="42" t="str">
        <x:v>Credits for goods sold but not yet paid; separately identified only in applicable years.</x:v>
      </x:c>
      <x:c r="E77" s="42" t="str">
        <x:v>number</x:v>
      </x:c>
      <x:c r="F77" s="42" t="str">
        <x:v>million_kc_nominal</x:v>
      </x:c>
      <x:c r="G77" s="42" t="str">
        <x:v>measure</x:v>
      </x:c>
      <x:c r="H77" s="42"/>
      <x:c r="I77" s="42" t="str">
        <x:v>Debtors of commercial departments</x:v>
      </x:c>
      <x:c r="J77" s="42" t="str">
        <x:v>commercial_department_debtors</x:v>
      </x:c>
      <x:c r="K77" s="42" t="str">
        <x:v>empty CSV field; never implicit zero</x:v>
      </x:c>
      <x:c r="L77" s="42" t="str">
        <x:v>data/observations_long.csv; metadata/raw_to_analytic.csv</x:v>
      </x:c>
      <x:c r="M77" s="2"/>
      <x:c r="N77" s="2"/>
    </x:row>
    <x:row r="78" ht="36" customHeight="1">
      <x:c r="A78" s="41" t="str">
        <x:v>annual_components</x:v>
      </x:c>
      <x:c r="B78" s="41" t="str">
        <x:v>commissions</x:v>
      </x:c>
      <x:c r="C78" s="41" t="str">
        <x:v>Provisions and commissions</x:v>
      </x:c>
      <x:c r="D78" s="41" t="str">
        <x:v>Published fee/commission income component.</x:v>
      </x:c>
      <x:c r="E78" s="41" t="str">
        <x:v>number</x:v>
      </x:c>
      <x:c r="F78" s="41" t="str">
        <x:v>million_kc_nominal</x:v>
      </x:c>
      <x:c r="G78" s="41" t="str">
        <x:v>measure</x:v>
      </x:c>
      <x:c r="H78" s="41"/>
      <x:c r="I78" s="41" t="str">
        <x:v>Provisions and commissions</x:v>
      </x:c>
      <x:c r="J78" s="41" t="str">
        <x:v>commissions</x:v>
      </x:c>
      <x:c r="K78" s="41" t="str">
        <x:v>empty CSV field; never implicit zero</x:v>
      </x:c>
      <x:c r="L78" s="41" t="str">
        <x:v>data/observations_long.csv; metadata/raw_to_analytic.csv</x:v>
      </x:c>
      <x:c r="M78" s="2"/>
      <x:c r="N78" s="2"/>
    </x:row>
    <x:row r="79" ht="36" customHeight="1">
      <x:c r="A79" s="42" t="str">
        <x:v>annual_components</x:v>
      </x:c>
      <x:c r="B79" s="42" t="str">
        <x:v>credits_secured_by_securities</x:v>
      </x:c>
      <x:c r="C79" s="42" t="str">
        <x:v>Advances covered by securities</x:v>
      </x:c>
      <x:c r="D79" s="42" t="str">
        <x:v>Loans component including stock-exchange contango and collateralised advances.</x:v>
      </x:c>
      <x:c r="E79" s="42" t="str">
        <x:v>number</x:v>
      </x:c>
      <x:c r="F79" s="42" t="str">
        <x:v>million_kc_nominal</x:v>
      </x:c>
      <x:c r="G79" s="42" t="str">
        <x:v>measure</x:v>
      </x:c>
      <x:c r="H79" s="42"/>
      <x:c r="I79" s="42" t="str">
        <x:v>Advances covered by securities</x:v>
      </x:c>
      <x:c r="J79" s="42" t="str">
        <x:v>credits_secured_by_securities</x:v>
      </x:c>
      <x:c r="K79" s="42" t="str">
        <x:v>empty CSV field; never implicit zero</x:v>
      </x:c>
      <x:c r="L79" s="42" t="str">
        <x:v>data/observations_long.csv; metadata/raw_to_analytic.csv</x:v>
      </x:c>
      <x:c r="M79" s="2"/>
      <x:c r="N79" s="2"/>
    </x:row>
    <x:row r="80" ht="36" customHeight="1">
      <x:c r="A80" s="41" t="str">
        <x:v>annual_components</x:v>
      </x:c>
      <x:c r="B80" s="41" t="str">
        <x:v>fx_notes_bills_cheques</x:v>
      </x:c>
      <x:c r="C80" s="41" t="str">
        <x:v>Foreign-currency notes, bills and cheques</x:v>
      </x:c>
      <x:c r="D80" s="41" t="str">
        <x:v>Foreign notes move to cash group (1) from 1931; later category coverage differs.</x:v>
      </x:c>
      <x:c r="E80" s="41" t="str">
        <x:v>number</x:v>
      </x:c>
      <x:c r="F80" s="41" t="str">
        <x:v>million_kc_nominal</x:v>
      </x:c>
      <x:c r="G80" s="41" t="str">
        <x:v>measure</x:v>
      </x:c>
      <x:c r="H80" s="41"/>
      <x:c r="I80" s="41" t="str">
        <x:v>Foreign-currency notes, bills and cheques</x:v>
      </x:c>
      <x:c r="J80" s="41" t="str">
        <x:v>fx_notes_bills_cheques</x:v>
      </x:c>
      <x:c r="K80" s="41" t="str">
        <x:v>empty CSV field; never implicit zero</x:v>
      </x:c>
      <x:c r="L80" s="41" t="str">
        <x:v>data/observations_long.csv; metadata/raw_to_analytic.csv</x:v>
      </x:c>
      <x:c r="M80" s="2"/>
      <x:c r="N80" s="2"/>
    </x:row>
    <x:row r="81" ht="36" customHeight="1">
      <x:c r="A81" s="42" t="str">
        <x:v>annual_components</x:v>
      </x:c>
      <x:c r="B81" s="42" t="str">
        <x:v>memorandum_accounts</x:v>
      </x:c>
      <x:c r="C81" s="42" t="str">
        <x:v>Memorandum accounts</x:v>
      </x:c>
      <x:c r="D81" s="42" t="str">
        <x:v>Comptes d'ordre excluded from both sides of the harmonised main balance sheet.</x:v>
      </x:c>
      <x:c r="E81" s="42" t="str">
        <x:v>number</x:v>
      </x:c>
      <x:c r="F81" s="42" t="str">
        <x:v>million_kc_nominal</x:v>
      </x:c>
      <x:c r="G81" s="42" t="str">
        <x:v>measure</x:v>
      </x:c>
      <x:c r="H81" s="42"/>
      <x:c r="I81" s="42" t="str">
        <x:v>Memorandum accounts</x:v>
      </x:c>
      <x:c r="J81" s="42" t="str">
        <x:v>memorandum_accounts</x:v>
      </x:c>
      <x:c r="K81" s="42" t="str">
        <x:v>empty CSV field; never implicit zero</x:v>
      </x:c>
      <x:c r="L81" s="42" t="str">
        <x:v>data/observations_long.csv; metadata/raw_to_analytic.csv</x:v>
      </x:c>
      <x:c r="M81" s="2"/>
      <x:c r="N81" s="2"/>
    </x:row>
    <x:row r="82" ht="36" customHeight="1">
      <x:c r="A82" s="41" t="str">
        <x:v>annual_components</x:v>
      </x:c>
      <x:c r="B82" s="41" t="str">
        <x:v>money_call_domestic</x:v>
      </x:c>
      <x:c r="C82" s="41" t="str">
        <x:v>Money on call with domestic banks</x:v>
      </x:c>
      <x:c r="D82" s="41" t="str">
        <x:v>Separately shown before 1931; included in cash group (1) from 1931.</x:v>
      </x:c>
      <x:c r="E82" s="41" t="str">
        <x:v>number</x:v>
      </x:c>
      <x:c r="F82" s="41" t="str">
        <x:v>million_kc_nominal</x:v>
      </x:c>
      <x:c r="G82" s="41" t="str">
        <x:v>measure</x:v>
      </x:c>
      <x:c r="H82" s="41"/>
      <x:c r="I82" s="41" t="str">
        <x:v>Money on call with domestic banks</x:v>
      </x:c>
      <x:c r="J82" s="41" t="str">
        <x:v>money_call_domestic</x:v>
      </x:c>
      <x:c r="K82" s="41" t="str">
        <x:v>empty CSV field; never implicit zero</x:v>
      </x:c>
      <x:c r="L82" s="41" t="str">
        <x:v>data/observations_long.csv; metadata/raw_to_analytic.csv</x:v>
      </x:c>
      <x:c r="M82" s="2"/>
      <x:c r="N82" s="2"/>
    </x:row>
    <x:row r="83" ht="36" customHeight="1">
      <x:c r="A83" s="42" t="str">
        <x:v>annual_components</x:v>
      </x:c>
      <x:c r="B83" s="42" t="str">
        <x:v>mortgage_department_other</x:v>
      </x:c>
      <x:c r="C83" s="42" t="str">
        <x:v>Mortgage department other</x:v>
      </x:c>
      <x:c r="D83" s="42" t="str">
        <x:v>Published component retained without imputation; the original label and source notes are preserved in source_records.csv.</x:v>
      </x:c>
      <x:c r="E83" s="42" t="str">
        <x:v>number</x:v>
      </x:c>
      <x:c r="F83" s="42" t="str">
        <x:v>million_kc_nominal</x:v>
      </x:c>
      <x:c r="G83" s="42" t="str">
        <x:v>measure</x:v>
      </x:c>
      <x:c r="H83" s="42"/>
      <x:c r="I83" s="42" t="str">
        <x:v>Mortgage department other</x:v>
      </x:c>
      <x:c r="J83" s="42" t="str">
        <x:v>mortgage_department_other</x:v>
      </x:c>
      <x:c r="K83" s="42" t="str">
        <x:v>empty CSV field; never implicit zero</x:v>
      </x:c>
      <x:c r="L83" s="42" t="str">
        <x:v>data/observations_long.csv; metadata/raw_to_analytic.csv</x:v>
      </x:c>
      <x:c r="M83" s="2"/>
      <x:c r="N83" s="2"/>
    </x:row>
    <x:row r="84" ht="36" customHeight="1">
      <x:c r="A84" s="41" t="str">
        <x:v>annual_components</x:v>
      </x:c>
      <x:c r="B84" s="41" t="str">
        <x:v>mortgage_loans</x:v>
      </x:c>
      <x:c r="C84" s="41" t="str">
        <x:v>Mortgage loans</x:v>
      </x:c>
      <x:c r="D84" s="41" t="str">
        <x:v>Published component retained without imputation; the original label and source notes are preserved in source_records.csv.</x:v>
      </x:c>
      <x:c r="E84" s="41" t="str">
        <x:v>number</x:v>
      </x:c>
      <x:c r="F84" s="41" t="str">
        <x:v>million_kc_nominal</x:v>
      </x:c>
      <x:c r="G84" s="41" t="str">
        <x:v>measure</x:v>
      </x:c>
      <x:c r="H84" s="41"/>
      <x:c r="I84" s="41" t="str">
        <x:v>Mortgage loans</x:v>
      </x:c>
      <x:c r="J84" s="41" t="str">
        <x:v>mortgage_loans</x:v>
      </x:c>
      <x:c r="K84" s="41" t="str">
        <x:v>empty CSV field; never implicit zero</x:v>
      </x:c>
      <x:c r="L84" s="41" t="str">
        <x:v>data/observations_long.csv; metadata/raw_to_analytic.csv</x:v>
      </x:c>
      <x:c r="M84" s="2"/>
      <x:c r="N84" s="2"/>
    </x:row>
    <x:row r="85" ht="36" customHeight="1">
      <x:c r="A85" s="42" t="str">
        <x:v>annual_components</x:v>
      </x:c>
      <x:c r="B85" s="42" t="str">
        <x:v>mortgage_municipal_railway_loans</x:v>
      </x:c>
      <x:c r="C85" s="42" t="str">
        <x:v>Mortgage municipal railway loans</x:v>
      </x:c>
      <x:c r="D85" s="42" t="str">
        <x:v>Published component retained without imputation; the original label and source notes are preserved in source_records.csv.</x:v>
      </x:c>
      <x:c r="E85" s="42" t="str">
        <x:v>number</x:v>
      </x:c>
      <x:c r="F85" s="42" t="str">
        <x:v>million_kc_nominal</x:v>
      </x:c>
      <x:c r="G85" s="42" t="str">
        <x:v>measure</x:v>
      </x:c>
      <x:c r="H85" s="42"/>
      <x:c r="I85" s="42" t="str">
        <x:v>Mortgage municipal railway loans</x:v>
      </x:c>
      <x:c r="J85" s="42" t="str">
        <x:v>mortgage_municipal_railway_loans</x:v>
      </x:c>
      <x:c r="K85" s="42" t="str">
        <x:v>empty CSV field; never implicit zero</x:v>
      </x:c>
      <x:c r="L85" s="42" t="str">
        <x:v>data/observations_long.csv; metadata/raw_to_analytic.csv</x:v>
      </x:c>
      <x:c r="M85" s="2"/>
      <x:c r="N85" s="2"/>
    </x:row>
    <x:row r="86" ht="36" customHeight="1">
      <x:c r="A86" s="41" t="str">
        <x:v>annual_components</x:v>
      </x:c>
      <x:c r="B86" s="41" t="str">
        <x:v>municipal_railway_loans</x:v>
      </x:c>
      <x:c r="C86" s="41" t="str">
        <x:v>Municipal railway loans</x:v>
      </x:c>
      <x:c r="D86" s="41" t="str">
        <x:v>Published component retained without imputation; the original label and source notes are preserved in source_records.csv.</x:v>
      </x:c>
      <x:c r="E86" s="41" t="str">
        <x:v>number</x:v>
      </x:c>
      <x:c r="F86" s="41" t="str">
        <x:v>million_kc_nominal</x:v>
      </x:c>
      <x:c r="G86" s="41" t="str">
        <x:v>measure</x:v>
      </x:c>
      <x:c r="H86" s="41"/>
      <x:c r="I86" s="41" t="str">
        <x:v>Municipal railway loans</x:v>
      </x:c>
      <x:c r="J86" s="41" t="str">
        <x:v>municipal_railway_loans</x:v>
      </x:c>
      <x:c r="K86" s="41" t="str">
        <x:v>empty CSV field; never implicit zero</x:v>
      </x:c>
      <x:c r="L86" s="41" t="str">
        <x:v>data/observations_long.csv; metadata/raw_to_analytic.csv</x:v>
      </x:c>
      <x:c r="M86" s="2"/>
      <x:c r="N86" s="2"/>
    </x:row>
    <x:row r="87" ht="36" customHeight="1">
      <x:c r="A87" s="42" t="str">
        <x:v>annual_components</x:v>
      </x:c>
      <x:c r="B87" s="42" t="str">
        <x:v>net_interest_discounts</x:v>
      </x:c>
      <x:c r="C87" s="42" t="str">
        <x:v>Net interest and discounts</x:v>
      </x:c>
      <x:c r="D87" s="42" t="str">
        <x:v>Interest and discount receipts after interest paid; an income flow, not an interest-rate measure.</x:v>
      </x:c>
      <x:c r="E87" s="42" t="str">
        <x:v>number</x:v>
      </x:c>
      <x:c r="F87" s="42" t="str">
        <x:v>million_kc_nominal</x:v>
      </x:c>
      <x:c r="G87" s="42" t="str">
        <x:v>measure</x:v>
      </x:c>
      <x:c r="H87" s="42"/>
      <x:c r="I87" s="42" t="str">
        <x:v>Net interest and discounts</x:v>
      </x:c>
      <x:c r="J87" s="42" t="str">
        <x:v>net_interest_discounts</x:v>
      </x:c>
      <x:c r="K87" s="42" t="str">
        <x:v>empty CSV field; never implicit zero</x:v>
      </x:c>
      <x:c r="L87" s="42" t="str">
        <x:v>data/observations_long.csv; metadata/raw_to_analytic.csv</x:v>
      </x:c>
      <x:c r="M87" s="2"/>
      <x:c r="N87" s="2"/>
    </x:row>
    <x:row r="88" ht="36" customHeight="1">
      <x:c r="A88" s="41" t="str">
        <x:v>annual_components</x:v>
      </x:c>
      <x:c r="B88" s="41" t="str">
        <x:v>net_loss_carried_as_asset</x:v>
      </x:c>
      <x:c r="C88" s="41" t="str">
        <x:v>Net loss carried as an asset</x:v>
      </x:c>
      <x:c r="D88" s="41" t="str">
        <x:v>Printed component of sundry assets, 1934–1937; do not replace earlier missing entries with zero.</x:v>
      </x:c>
      <x:c r="E88" s="41" t="str">
        <x:v>number</x:v>
      </x:c>
      <x:c r="F88" s="41" t="str">
        <x:v>million_kc_nominal</x:v>
      </x:c>
      <x:c r="G88" s="41" t="str">
        <x:v>measure</x:v>
      </x:c>
      <x:c r="H88" s="41"/>
      <x:c r="I88" s="41" t="str">
        <x:v>Net loss carried as an asset</x:v>
      </x:c>
      <x:c r="J88" s="41" t="str">
        <x:v>net_loss_carried_as_asset</x:v>
      </x:c>
      <x:c r="K88" s="41" t="str">
        <x:v>empty CSV field; never implicit zero</x:v>
      </x:c>
      <x:c r="L88" s="41" t="str">
        <x:v>data/observations_long.csv; metadata/raw_to_analytic.csv</x:v>
      </x:c>
      <x:c r="M88" s="2"/>
      <x:c r="N88" s="2"/>
    </x:row>
    <x:row r="89" ht="36" customHeight="1">
      <x:c r="A89" s="42" t="str">
        <x:v>annual_components</x:v>
      </x:c>
      <x:c r="B89" s="42" t="str">
        <x:v>other_banking_debtors</x:v>
      </x:c>
      <x:c r="C89" s="42" t="str">
        <x:v>Other debtors from banking business</x:v>
      </x:c>
      <x:c r="D89" s="42" t="str">
        <x:v>Includes various advances and bank/correspondent claims; not separately classifiable as domestic nonbank credit.</x:v>
      </x:c>
      <x:c r="E89" s="42" t="str">
        <x:v>number</x:v>
      </x:c>
      <x:c r="F89" s="42" t="str">
        <x:v>million_kc_nominal</x:v>
      </x:c>
      <x:c r="G89" s="42" t="str">
        <x:v>measure</x:v>
      </x:c>
      <x:c r="H89" s="42"/>
      <x:c r="I89" s="42" t="str">
        <x:v>Other debtors from banking business</x:v>
      </x:c>
      <x:c r="J89" s="42" t="str">
        <x:v>other_banking_debtors</x:v>
      </x:c>
      <x:c r="K89" s="42" t="str">
        <x:v>empty CSV field; never implicit zero</x:v>
      </x:c>
      <x:c r="L89" s="42" t="str">
        <x:v>data/observations_long.csv; metadata/raw_to_analytic.csv</x:v>
      </x:c>
      <x:c r="M89" s="2"/>
      <x:c r="N89" s="2"/>
    </x:row>
    <x:row r="90" ht="36" customHeight="1">
      <x:c r="A90" s="41" t="str">
        <x:v>annual_components</x:v>
      </x:c>
      <x:c r="B90" s="41" t="str">
        <x:v>other_cash_components_total</x:v>
      </x:c>
      <x:c r="C90" s="41" t="str">
        <x:v>Other cash components total</x:v>
      </x:c>
      <x:c r="D90" s="41" t="str">
        <x:v>Published component retained without imputation; the original label and source notes are preserved in source_records.csv.</x:v>
      </x:c>
      <x:c r="E90" s="41" t="str">
        <x:v>number</x:v>
      </x:c>
      <x:c r="F90" s="41" t="str">
        <x:v>million_kc_nominal</x:v>
      </x:c>
      <x:c r="G90" s="41" t="str">
        <x:v>measure</x:v>
      </x:c>
      <x:c r="H90" s="41"/>
      <x:c r="I90" s="41" t="str">
        <x:v>Other cash components total</x:v>
      </x:c>
      <x:c r="J90" s="41" t="str">
        <x:v>other_cash_components_total</x:v>
      </x:c>
      <x:c r="K90" s="41" t="str">
        <x:v>empty CSV field; never implicit zero</x:v>
      </x:c>
      <x:c r="L90" s="41" t="str">
        <x:v>data/observations_long.csv; metadata/raw_to_analytic.csv</x:v>
      </x:c>
      <x:c r="M90" s="2"/>
      <x:c r="N90" s="2"/>
    </x:row>
    <x:row r="91" ht="36" customHeight="1">
      <x:c r="A91" s="42" t="str">
        <x:v>annual_components</x:v>
      </x:c>
      <x:c r="B91" s="42" t="str">
        <x:v>other_nonloss_funds</x:v>
      </x:c>
      <x:c r="C91" s="42" t="str">
        <x:v>Other nonloss funds</x:v>
      </x:c>
      <x:c r="D91" s="42" t="str">
        <x:v>Published component retained without imputation; the original label and source notes are preserved in source_records.csv.</x:v>
      </x:c>
      <x:c r="E91" s="42" t="str">
        <x:v>number</x:v>
      </x:c>
      <x:c r="F91" s="42" t="str">
        <x:v>million_kc_nominal</x:v>
      </x:c>
      <x:c r="G91" s="42" t="str">
        <x:v>measure</x:v>
      </x:c>
      <x:c r="H91" s="42"/>
      <x:c r="I91" s="42" t="str">
        <x:v>Other nonloss funds</x:v>
      </x:c>
      <x:c r="J91" s="42" t="str">
        <x:v>other_nonloss_funds</x:v>
      </x:c>
      <x:c r="K91" s="42" t="str">
        <x:v>empty CSV field; never implicit zero</x:v>
      </x:c>
      <x:c r="L91" s="42" t="str">
        <x:v>data/observations_long.csv; metadata/raw_to_analytic.csv</x:v>
      </x:c>
      <x:c r="M91" s="2"/>
      <x:c r="N91" s="2"/>
    </x:row>
    <x:row r="92" ht="36" customHeight="1">
      <x:c r="A92" s="41" t="str">
        <x:v>annual_components</x:v>
      </x:c>
      <x:c r="B92" s="41" t="str">
        <x:v>other_real_estate</x:v>
      </x:c>
      <x:c r="C92" s="41" t="str">
        <x:v>Other real estate</x:v>
      </x:c>
      <x:c r="D92" s="41" t="str">
        <x:v>Published component retained without imputation; the original label and source notes are preserved in source_records.csv.</x:v>
      </x:c>
      <x:c r="E92" s="41" t="str">
        <x:v>number</x:v>
      </x:c>
      <x:c r="F92" s="41" t="str">
        <x:v>million_kc_nominal</x:v>
      </x:c>
      <x:c r="G92" s="41" t="str">
        <x:v>measure</x:v>
      </x:c>
      <x:c r="H92" s="41"/>
      <x:c r="I92" s="41" t="str">
        <x:v>Other real estate</x:v>
      </x:c>
      <x:c r="J92" s="41" t="str">
        <x:v>other_real_estate</x:v>
      </x:c>
      <x:c r="K92" s="41" t="str">
        <x:v>empty CSV field; never implicit zero</x:v>
      </x:c>
      <x:c r="L92" s="41" t="str">
        <x:v>data/observations_long.csv; metadata/raw_to_analytic.csv</x:v>
      </x:c>
      <x:c r="M92" s="2"/>
      <x:c r="N92" s="2"/>
    </x:row>
    <x:row r="93" ht="36" customHeight="1">
      <x:c r="A93" s="42" t="str">
        <x:v>annual_components</x:v>
      </x:c>
      <x:c r="B93" s="42" t="str">
        <x:v>pension_funds</x:v>
      </x:c>
      <x:c r="C93" s="42" t="str">
        <x:v>Pension funds</x:v>
      </x:c>
      <x:c r="D93" s="42" t="str">
        <x:v>Published component retained without imputation; the original label and source notes are preserved in source_records.csv.</x:v>
      </x:c>
      <x:c r="E93" s="42" t="str">
        <x:v>number</x:v>
      </x:c>
      <x:c r="F93" s="42" t="str">
        <x:v>million_kc_nominal</x:v>
      </x:c>
      <x:c r="G93" s="42" t="str">
        <x:v>measure</x:v>
      </x:c>
      <x:c r="H93" s="42"/>
      <x:c r="I93" s="42" t="str">
        <x:v>Pension funds</x:v>
      </x:c>
      <x:c r="J93" s="42" t="str">
        <x:v>pension_funds</x:v>
      </x:c>
      <x:c r="K93" s="42" t="str">
        <x:v>empty CSV field; never implicit zero</x:v>
      </x:c>
      <x:c r="L93" s="42" t="str">
        <x:v>data/observations_long.csv; metadata/raw_to_analytic.csv</x:v>
      </x:c>
      <x:c r="M93" s="2"/>
      <x:c r="N93" s="2"/>
    </x:row>
    <x:row r="94" ht="36" customHeight="1">
      <x:c r="A94" s="41" t="str">
        <x:v>annual_components</x:v>
      </x:c>
      <x:c r="B94" s="41" t="str">
        <x:v>pension_other_nonloss_funds</x:v>
      </x:c>
      <x:c r="C94" s="41" t="str">
        <x:v>Pension other nonloss funds</x:v>
      </x:c>
      <x:c r="D94" s="41" t="str">
        <x:v>Published component retained without imputation; the original label and source notes are preserved in source_records.csv.</x:v>
      </x:c>
      <x:c r="E94" s="41" t="str">
        <x:v>number</x:v>
      </x:c>
      <x:c r="F94" s="41" t="str">
        <x:v>million_kc_nominal</x:v>
      </x:c>
      <x:c r="G94" s="41" t="str">
        <x:v>measure</x:v>
      </x:c>
      <x:c r="H94" s="41"/>
      <x:c r="I94" s="41" t="str">
        <x:v>Pension other nonloss funds</x:v>
      </x:c>
      <x:c r="J94" s="41" t="str">
        <x:v>pension_other_nonloss_funds</x:v>
      </x:c>
      <x:c r="K94" s="41" t="str">
        <x:v>empty CSV field; never implicit zero</x:v>
      </x:c>
      <x:c r="L94" s="41" t="str">
        <x:v>data/observations_long.csv; metadata/raw_to_analytic.csv</x:v>
      </x:c>
      <x:c r="M94" s="2"/>
      <x:c r="N94" s="2"/>
    </x:row>
    <x:row r="95" ht="36" customHeight="1">
      <x:c r="A95" s="42" t="str">
        <x:v>annual_components</x:v>
      </x:c>
      <x:c r="B95" s="42" t="str">
        <x:v>reserved_other_nonloss_funds_decimal</x:v>
      </x:c>
      <x:c r="C95" s="42" t="str">
        <x:v>Reserved other nonloss funds decimal</x:v>
      </x:c>
      <x:c r="D95" s="42" t="str">
        <x:v>Published component retained without imputation; the original label and source notes are preserved in source_records.csv.</x:v>
      </x:c>
      <x:c r="E95" s="42" t="str">
        <x:v>number</x:v>
      </x:c>
      <x:c r="F95" s="42" t="str">
        <x:v>million_kc_nominal</x:v>
      </x:c>
      <x:c r="G95" s="42" t="str">
        <x:v>measure</x:v>
      </x:c>
      <x:c r="H95" s="42"/>
      <x:c r="I95" s="42" t="str">
        <x:v>Reserved other nonloss funds decimal</x:v>
      </x:c>
      <x:c r="J95" s="42" t="str">
        <x:v>reserved_other_nonloss_funds_decimal</x:v>
      </x:c>
      <x:c r="K95" s="42" t="str">
        <x:v>empty CSV field; never implicit zero</x:v>
      </x:c>
      <x:c r="L95" s="42" t="str">
        <x:v>data/observations_long.csv; metadata/raw_to_analytic.csv</x:v>
      </x:c>
      <x:c r="M95" s="2"/>
      <x:c r="N95" s="2"/>
    </x:row>
    <x:row r="96" ht="36" customHeight="1">
      <x:c r="A96" s="41" t="str">
        <x:v>annual_components</x:v>
      </x:c>
      <x:c r="B96" s="41" t="str">
        <x:v>reserved_other_purposes_decimal</x:v>
      </x:c>
      <x:c r="C96" s="41" t="str">
        <x:v>Reserved other purposes decimal</x:v>
      </x:c>
      <x:c r="D96" s="41" t="str">
        <x:v>Published component retained without imputation; the original label and source notes are preserved in source_records.csv.</x:v>
      </x:c>
      <x:c r="E96" s="41" t="str">
        <x:v>number</x:v>
      </x:c>
      <x:c r="F96" s="41" t="str">
        <x:v>million_kc_nominal</x:v>
      </x:c>
      <x:c r="G96" s="41" t="str">
        <x:v>measure</x:v>
      </x:c>
      <x:c r="H96" s="41"/>
      <x:c r="I96" s="41" t="str">
        <x:v>Reserved other purposes decimal</x:v>
      </x:c>
      <x:c r="J96" s="41" t="str">
        <x:v>reserved_other_purposes_decimal</x:v>
      </x:c>
      <x:c r="K96" s="41" t="str">
        <x:v>empty CSV field; never implicit zero</x:v>
      </x:c>
      <x:c r="L96" s="41" t="str">
        <x:v>data/observations_long.csv; metadata/raw_to_analytic.csv</x:v>
      </x:c>
      <x:c r="M96" s="2"/>
      <x:c r="N96" s="2"/>
    </x:row>
    <x:row r="97" ht="36" customHeight="1">
      <x:c r="A97" s="42" t="str">
        <x:v>annual_components</x:v>
      </x:c>
      <x:c r="B97" s="42" t="str">
        <x:v>reserved_pension_etc_decimal_total</x:v>
      </x:c>
      <x:c r="C97" s="42" t="str">
        <x:v>Reserved pension etc decimal total</x:v>
      </x:c>
      <x:c r="D97" s="42" t="str">
        <x:v>Published component retained without imputation; the original label and source notes are preserved in source_records.csv.</x:v>
      </x:c>
      <x:c r="E97" s="42" t="str">
        <x:v>number</x:v>
      </x:c>
      <x:c r="F97" s="42" t="str">
        <x:v>million_kc_nominal</x:v>
      </x:c>
      <x:c r="G97" s="42" t="str">
        <x:v>measure</x:v>
      </x:c>
      <x:c r="H97" s="42"/>
      <x:c r="I97" s="42" t="str">
        <x:v>Reserved pension etc decimal total</x:v>
      </x:c>
      <x:c r="J97" s="42" t="str">
        <x:v>reserved_pension_etc_decimal_total</x:v>
      </x:c>
      <x:c r="K97" s="42" t="str">
        <x:v>empty CSV field; never implicit zero</x:v>
      </x:c>
      <x:c r="L97" s="42" t="str">
        <x:v>data/observations_long.csv; metadata/raw_to_analytic.csv</x:v>
      </x:c>
      <x:c r="M97" s="2"/>
      <x:c r="N97" s="2"/>
    </x:row>
    <x:row r="98" ht="36" customHeight="1">
      <x:c r="A98" s="41" t="str">
        <x:v>annual_components</x:v>
      </x:c>
      <x:c r="B98" s="41" t="str">
        <x:v>reserved_pension_funds_decimal</x:v>
      </x:c>
      <x:c r="C98" s="41" t="str">
        <x:v>Reserved pension funds decimal</x:v>
      </x:c>
      <x:c r="D98" s="41" t="str">
        <x:v>Published component retained without imputation; the original label and source notes are preserved in source_records.csv.</x:v>
      </x:c>
      <x:c r="E98" s="41" t="str">
        <x:v>number</x:v>
      </x:c>
      <x:c r="F98" s="41" t="str">
        <x:v>million_kc_nominal</x:v>
      </x:c>
      <x:c r="G98" s="41" t="str">
        <x:v>measure</x:v>
      </x:c>
      <x:c r="H98" s="41"/>
      <x:c r="I98" s="41" t="str">
        <x:v>Reserved pension funds decimal</x:v>
      </x:c>
      <x:c r="J98" s="41" t="str">
        <x:v>reserved_pension_funds_decimal</x:v>
      </x:c>
      <x:c r="K98" s="41" t="str">
        <x:v>empty CSV field; never implicit zero</x:v>
      </x:c>
      <x:c r="L98" s="41" t="str">
        <x:v>data/observations_long.csv; metadata/raw_to_analytic.csv</x:v>
      </x:c>
      <x:c r="M98" s="2"/>
      <x:c r="N98" s="2"/>
    </x:row>
    <x:row r="99" ht="36" customHeight="1">
      <x:c r="A99" s="42" t="str">
        <x:v>annual_components</x:v>
      </x:c>
      <x:c r="B99" s="42" t="str">
        <x:v>savings_deposits</x:v>
      </x:c>
      <x:c r="C99" s="42" t="str">
        <x:v>Deposits on savings accounts</x:v>
      </x:c>
      <x:c r="D99" s="42" t="str">
        <x:v>Actual savings-account component, excluding cash certificates.</x:v>
      </x:c>
      <x:c r="E99" s="42" t="str">
        <x:v>number</x:v>
      </x:c>
      <x:c r="F99" s="42" t="str">
        <x:v>million_kc_nominal</x:v>
      </x:c>
      <x:c r="G99" s="42" t="str">
        <x:v>measure</x:v>
      </x:c>
      <x:c r="H99" s="42"/>
      <x:c r="I99" s="42" t="str">
        <x:v>Deposits on savings accounts</x:v>
      </x:c>
      <x:c r="J99" s="42" t="str">
        <x:v>savings_deposits</x:v>
      </x:c>
      <x:c r="K99" s="42" t="str">
        <x:v>empty CSV field; never implicit zero</x:v>
      </x:c>
      <x:c r="L99" s="42" t="str">
        <x:v>data/observations_long.csv; metadata/raw_to_analytic.csv</x:v>
      </x:c>
      <x:c r="M99" s="2"/>
      <x:c r="N99" s="2"/>
    </x:row>
    <x:row r="100" ht="36" customHeight="1">
      <x:c r="A100" s="41" t="str">
        <x:v>annual_components</x:v>
      </x:c>
      <x:c r="B100" s="41" t="str">
        <x:v>securities_participation_profits</x:v>
      </x:c>
      <x:c r="C100" s="41" t="str">
        <x:v>Profits on securities and participations</x:v>
      </x:c>
      <x:c r="D100" s="41" t="str">
        <x:v>Signed income component, including -67 in 1931; distinct from write-offs.</x:v>
      </x:c>
      <x:c r="E100" s="41" t="str">
        <x:v>number</x:v>
      </x:c>
      <x:c r="F100" s="41" t="str">
        <x:v>million_kc_nominal</x:v>
      </x:c>
      <x:c r="G100" s="41" t="str">
        <x:v>measure</x:v>
      </x:c>
      <x:c r="H100" s="41"/>
      <x:c r="I100" s="41" t="str">
        <x:v>Profits on securities and participations</x:v>
      </x:c>
      <x:c r="J100" s="41" t="str">
        <x:v>securities_participation_profits</x:v>
      </x:c>
      <x:c r="K100" s="41" t="str">
        <x:v>empty CSV field; never implicit zero</x:v>
      </x:c>
      <x:c r="L100" s="41" t="str">
        <x:v>data/observations_long.csv; metadata/raw_to_analytic.csv</x:v>
      </x:c>
      <x:c r="M100" s="2"/>
      <x:c r="N100" s="2"/>
    </x:row>
    <x:row r="101" ht="36" customHeight="1">
      <x:c r="A101" s="42" t="str">
        <x:v>annual_components</x:v>
      </x:c>
      <x:c r="B101" s="42" t="str">
        <x:v>sight_cb_postcheque</x:v>
      </x:c>
      <x:c r="C101" s="42" t="str">
        <x:v>Sight balances with central bank and post-cheque office</x:v>
      </x:c>
      <x:c r="D101" s="42" t="str">
        <x:v>Published component label; later cash-group reclassification incorporates money on call, so do not infer a homogeneous reserve series.</x:v>
      </x:c>
      <x:c r="E101" s="42" t="str">
        <x:v>number</x:v>
      </x:c>
      <x:c r="F101" s="42" t="str">
        <x:v>million_kc_nominal</x:v>
      </x:c>
      <x:c r="G101" s="42" t="str">
        <x:v>measure</x:v>
      </x:c>
      <x:c r="H101" s="42"/>
      <x:c r="I101" s="42" t="str">
        <x:v>Sight balances with central bank and post-cheque office</x:v>
      </x:c>
      <x:c r="J101" s="42" t="str">
        <x:v>sight_cb_postcheque</x:v>
      </x:c>
      <x:c r="K101" s="42" t="str">
        <x:v>empty CSV field; never implicit zero</x:v>
      </x:c>
      <x:c r="L101" s="42" t="str">
        <x:v>data/observations_long.csv; metadata/raw_to_analytic.csv</x:v>
      </x:c>
    </x:row>
    <x:row r="102" ht="36" customHeight="1">
      <x:c r="A102" s="41" t="str">
        <x:v>annual_components</x:v>
      </x:c>
      <x:c r="B102" s="41" t="str">
        <x:v>sundry_profits</x:v>
      </x:c>
      <x:c r="C102" s="41" t="str">
        <x:v>Sundry net profits</x:v>
      </x:c>
      <x:c r="D102" s="41" t="str">
        <x:v>Published residual operating-income component.</x:v>
      </x:c>
      <x:c r="E102" s="41" t="str">
        <x:v>number</x:v>
      </x:c>
      <x:c r="F102" s="41" t="str">
        <x:v>million_kc_nominal</x:v>
      </x:c>
      <x:c r="G102" s="41" t="str">
        <x:v>measure</x:v>
      </x:c>
      <x:c r="H102" s="41"/>
      <x:c r="I102" s="41" t="str">
        <x:v>Sundry net profits</x:v>
      </x:c>
      <x:c r="J102" s="41" t="str">
        <x:v>sundry_profits</x:v>
      </x:c>
      <x:c r="K102" s="41" t="str">
        <x:v>empty CSV field; never implicit zero</x:v>
      </x:c>
      <x:c r="L102" s="41" t="str">
        <x:v>data/observations_long.csv; metadata/raw_to_analytic.csv</x:v>
      </x:c>
    </x:row>
    <x:row r="103" ht="36" customHeight="1">
      <x:c r="A103" s="42" t="str">
        <x:v>annual_components</x:v>
      </x:c>
      <x:c r="B103" s="42" t="str">
        <x:v>temporary_sundry_assets</x:v>
      </x:c>
      <x:c r="C103" s="42" t="str">
        <x:v>Temporary sundry assets</x:v>
      </x:c>
      <x:c r="D103" s="42" t="str">
        <x:v>Published component retained without imputation; the original label and source notes are preserved in source_records.csv.</x:v>
      </x:c>
      <x:c r="E103" s="42" t="str">
        <x:v>number</x:v>
      </x:c>
      <x:c r="F103" s="42" t="str">
        <x:v>million_kc_nominal</x:v>
      </x:c>
      <x:c r="G103" s="42" t="str">
        <x:v>measure</x:v>
      </x:c>
      <x:c r="H103" s="42"/>
      <x:c r="I103" s="42" t="str">
        <x:v>Temporary sundry assets</x:v>
      </x:c>
      <x:c r="J103" s="42" t="str">
        <x:v>temporary_sundry_assets</x:v>
      </x:c>
      <x:c r="K103" s="42" t="str">
        <x:v>empty CSV field; never implicit zero</x:v>
      </x:c>
      <x:c r="L103" s="42" t="str">
        <x:v>data/observations_long.csv; metadata/raw_to_analytic.csv</x:v>
      </x:c>
    </x:row>
    <x:row r="104" ht="36" customHeight="1">
      <x:c r="A104" s="41" t="str">
        <x:v>annual_components</x:v>
      </x:c>
      <x:c r="B104" s="41" t="str">
        <x:v>temporary_sundry_liabilities</x:v>
      </x:c>
      <x:c r="C104" s="41" t="str">
        <x:v>Temporary sundry liabilities</x:v>
      </x:c>
      <x:c r="D104" s="41" t="str">
        <x:v>Published component retained without imputation; the original label and source notes are preserved in source_records.csv.</x:v>
      </x:c>
      <x:c r="E104" s="41" t="str">
        <x:v>number</x:v>
      </x:c>
      <x:c r="F104" s="41" t="str">
        <x:v>million_kc_nominal</x:v>
      </x:c>
      <x:c r="G104" s="41" t="str">
        <x:v>measure</x:v>
      </x:c>
      <x:c r="H104" s="41"/>
      <x:c r="I104" s="41" t="str">
        <x:v>Temporary sundry liabilities</x:v>
      </x:c>
      <x:c r="J104" s="41" t="str">
        <x:v>temporary_sundry_liabilities</x:v>
      </x:c>
      <x:c r="K104" s="41" t="str">
        <x:v>empty CSV field; never implicit zero</x:v>
      </x:c>
      <x:c r="L104" s="41" t="str">
        <x:v>data/observations_long.csv; metadata/raw_to_analytic.csv</x:v>
      </x:c>
    </x:row>
    <x:row r="105" ht="36" customHeight="1">
      <x:c r="A105" s="42" t="str">
        <x:v>annual_components</x:v>
      </x:c>
      <x:c r="B105" s="42" t="str">
        <x:v>source_ids</x:v>
      </x:c>
      <x:c r="C105" s="42" t="str">
        <x:v>Source ids</x:v>
      </x:c>
      <x:c r="D105" s="42" t="str">
        <x:v>Semicolon-separated source identifiers joining metadata/source_index.csv.</x:v>
      </x:c>
      <x:c r="E105" s="42" t="str">
        <x:v>string</x:v>
      </x:c>
      <x:c r="F105" s="42"/>
      <x:c r="G105" s="42" t="str">
        <x:v>provenance_or_identifier</x:v>
      </x:c>
      <x:c r="H105" s="42"/>
      <x:c r="I105" s="42"/>
      <x:c r="J105" s="42"/>
      <x:c r="K105" s="42" t="str">
        <x:v>empty CSV field; never implicit zero</x:v>
      </x:c>
      <x:c r="L105" s="42" t="str">
        <x:v>data/observations_long.csv; metadata/raw_to_analytic.csv</x:v>
      </x:c>
    </x:row>
    <x:row r="106" ht="36" customHeight="1">
      <x:c r="A106" s="41" t="str">
        <x:v>annual_components</x:v>
      </x:c>
      <x:c r="B106" s="41" t="str">
        <x:v>source_entry_ids</x:v>
      </x:c>
      <x:c r="C106" s="41" t="str">
        <x:v>Source entry ids</x:v>
      </x:c>
      <x:c r="D106" s="41" t="str">
        <x:v>Semicolon-separated source-table entries joining metadata/source_entry_index.csv.</x:v>
      </x:c>
      <x:c r="E106" s="41" t="str">
        <x:v>string</x:v>
      </x:c>
      <x:c r="F106" s="41"/>
      <x:c r="G106" s="41" t="str">
        <x:v>provenance_or_identifier</x:v>
      </x:c>
      <x:c r="H106" s="41"/>
      <x:c r="I106" s="41"/>
      <x:c r="J106" s="41"/>
      <x:c r="K106" s="41" t="str">
        <x:v>empty CSV field; never implicit zero</x:v>
      </x:c>
      <x:c r="L106" s="41" t="str">
        <x:v>data/observations_long.csv; metadata/raw_to_analytic.csv</x:v>
      </x:c>
    </x:row>
    <x:row r="107" ht="36" customHeight="1">
      <x:c r="A107" s="42" t="str">
        <x:v>annual_components</x:v>
      </x:c>
      <x:c r="B107" s="42" t="str">
        <x:v>flags</x:v>
      </x:c>
      <x:c r="C107" s="42" t="str">
        <x:v>Flags</x:v>
      </x:c>
      <x:c r="D107" s="42" t="str">
        <x:v>Semicolon-separated source or comparability exception codes; empty means no listed exception, not an assurance of universal comparability.</x:v>
      </x:c>
      <x:c r="E107" s="42" t="str">
        <x:v>string</x:v>
      </x:c>
      <x:c r="F107" s="42"/>
      <x:c r="G107" s="42" t="str">
        <x:v>provenance_or_identifier</x:v>
      </x:c>
      <x:c r="H107" s="42"/>
      <x:c r="I107" s="42"/>
      <x:c r="J107" s="42"/>
      <x:c r="K107" s="42" t="str">
        <x:v>empty CSV field; never implicit zero</x:v>
      </x:c>
      <x:c r="L107" s="42" t="str">
        <x:v>data/observations_long.csv; metadata/raw_to_analytic.csv</x:v>
      </x:c>
    </x:row>
    <x:row r="108" ht="36" customHeight="1">
      <x:c r="A108" s="41" t="str">
        <x:v>annual_aggregate</x:v>
      </x:c>
      <x:c r="B108" s="41" t="str">
        <x:v>year</x:v>
      </x:c>
      <x:c r="C108" s="41" t="str">
        <x:v>Year</x:v>
      </x:c>
      <x:c r="D108" s="41" t="str">
        <x:v>Calendar year of the observation; balance-sheet stocks are year-end unless a source-date field says otherwise.</x:v>
      </x:c>
      <x:c r="E108" s="41" t="str">
        <x:v>integer</x:v>
      </x:c>
      <x:c r="F108" s="41"/>
      <x:c r="G108" s="41" t="str">
        <x:v>provenance_or_identifier</x:v>
      </x:c>
      <x:c r="H108" s="41"/>
      <x:c r="I108" s="41"/>
      <x:c r="J108" s="41"/>
      <x:c r="K108" s="41" t="str">
        <x:v>empty CSV field; never implicit zero</x:v>
      </x:c>
      <x:c r="L108" s="41" t="str">
        <x:v>data/observations_long.csv; metadata/raw_to_analytic.csv</x:v>
      </x:c>
    </x:row>
    <x:row r="109" ht="36" customHeight="1">
      <x:c r="A109" s="42" t="str">
        <x:v>annual_aggregate</x:v>
      </x:c>
      <x:c r="B109" s="42" t="str">
        <x:v>population_id</x:v>
      </x:c>
      <x:c r="C109" s="42" t="str">
        <x:v>Population id</x:v>
      </x:c>
      <x:c r="D109" s="42" t="str">
        <x:v>Join key to metadata/population_definitions.csv; populations must not be pooled or added without a defined bridge.</x:v>
      </x:c>
      <x:c r="E109" s="42" t="str">
        <x:v>string</x:v>
      </x:c>
      <x:c r="F109" s="42"/>
      <x:c r="G109" s="42" t="str">
        <x:v>provenance_or_identifier</x:v>
      </x:c>
      <x:c r="H109" s="42"/>
      <x:c r="I109" s="42"/>
      <x:c r="J109" s="42"/>
      <x:c r="K109" s="42" t="str">
        <x:v>empty CSV field; never implicit zero</x:v>
      </x:c>
      <x:c r="L109" s="42" t="str">
        <x:v>data/observations_long.csv; metadata/raw_to_analytic.csv</x:v>
      </x:c>
    </x:row>
    <x:row r="110" ht="36" customHeight="1">
      <x:c r="A110" s="41" t="str">
        <x:v>annual_aggregate</x:v>
      </x:c>
      <x:c r="B110" s="41" t="str">
        <x:v>balance_bank_count</x:v>
      </x:c>
      <x:c r="C110" s="41" t="str">
        <x:v>Number of reporting banks</x:v>
      </x:c>
      <x:c r="D110" s="41" t="str">
        <x:v>Published count; changes do not identify entry, exit or mergers individually.</x:v>
      </x:c>
      <x:c r="E110" s="41" t="str">
        <x:v>number</x:v>
      </x:c>
      <x:c r="F110" s="41" t="str">
        <x:v>bank_count</x:v>
      </x:c>
      <x:c r="G110" s="41" t="str">
        <x:v>measure</x:v>
      </x:c>
      <x:c r="H110" s="41"/>
      <x:c r="I110" s="41" t="str">
        <x:v>Number of reporting banks</x:v>
      </x:c>
      <x:c r="J110" s="41" t="str">
        <x:v>annual_balance_sheet.bank_count</x:v>
      </x:c>
      <x:c r="K110" s="41" t="str">
        <x:v>empty CSV field; never implicit zero</x:v>
      </x:c>
      <x:c r="L110" s="41" t="str">
        <x:v>data/observations_long.csv; metadata/raw_to_analytic.csv</x:v>
      </x:c>
    </x:row>
    <x:row r="111" ht="36" customHeight="1">
      <x:c r="A111" s="42" t="str">
        <x:v>annual_aggregate</x:v>
      </x:c>
      <x:c r="B111" s="42" t="str">
        <x:v>income_bank_count</x:v>
      </x:c>
      <x:c r="C111" s="42" t="str">
        <x:v>Number of reporting banks</x:v>
      </x:c>
      <x:c r="D111" s="42" t="str">
        <x:v>Published count; changes do not identify entry, exit or mergers individually.</x:v>
      </x:c>
      <x:c r="E111" s="42" t="str">
        <x:v>number</x:v>
      </x:c>
      <x:c r="F111" s="42" t="str">
        <x:v>bank_count</x:v>
      </x:c>
      <x:c r="G111" s="42" t="str">
        <x:v>measure</x:v>
      </x:c>
      <x:c r="H111" s="42"/>
      <x:c r="I111" s="42" t="str">
        <x:v>Number of reporting banks</x:v>
      </x:c>
      <x:c r="J111" s="42" t="str">
        <x:v>annual_income.bank_count</x:v>
      </x:c>
      <x:c r="K111" s="42" t="str">
        <x:v>empty CSV field; never implicit zero</x:v>
      </x:c>
      <x:c r="L111" s="42" t="str">
        <x:v>data/observations_long.csv; metadata/raw_to_analytic.csv</x:v>
      </x:c>
    </x:row>
    <x:row r="112" ht="36" customHeight="1">
      <x:c r="A112" s="41" t="str">
        <x:v>annual_aggregate</x:v>
      </x:c>
      <x:c r="B112" s="41" t="str">
        <x:v>total_assets</x:v>
      </x:c>
      <x:c r="C112" s="41" t="str">
        <x:v>Total assets</x:v>
      </x:c>
      <x:c r="D112" s="41" t="str">
        <x:v>Published balance-sheet total after LoN exclusion of memorandum accounts.</x:v>
      </x:c>
      <x:c r="E112" s="41" t="str">
        <x:v>number</x:v>
      </x:c>
      <x:c r="F112" s="41" t="str">
        <x:v>million_kc_nominal</x:v>
      </x:c>
      <x:c r="G112" s="41" t="str">
        <x:v>measure</x:v>
      </x:c>
      <x:c r="H112" s="41"/>
      <x:c r="I112" s="41" t="str">
        <x:v>Total assets</x:v>
      </x:c>
      <x:c r="J112" s="41" t="str">
        <x:v>annual_balance_sheet.total_assets</x:v>
      </x:c>
      <x:c r="K112" s="41" t="str">
        <x:v>empty CSV field; never implicit zero</x:v>
      </x:c>
      <x:c r="L112" s="41" t="str">
        <x:v>data/observations_long.csv; metadata/raw_to_analytic.csv</x:v>
      </x:c>
    </x:row>
    <x:row r="113" ht="36" customHeight="1">
      <x:c r="A113" s="42" t="str">
        <x:v>annual_aggregate</x:v>
      </x:c>
      <x:c r="B113" s="42" t="str">
        <x:v>loans_advances</x:v>
      </x:c>
      <x:c r="C113" s="42" t="str">
        <x:v>Loans and advances</x:v>
      </x:c>
      <x:c r="D113" s="42" t="str">
        <x:v>Includes bank and correspondent receivables; not exclusively lending to nonfinancial domestic borrowers.</x:v>
      </x:c>
      <x:c r="E113" s="42" t="str">
        <x:v>number</x:v>
      </x:c>
      <x:c r="F113" s="42" t="str">
        <x:v>million_kc_nominal</x:v>
      </x:c>
      <x:c r="G113" s="42" t="str">
        <x:v>measure</x:v>
      </x:c>
      <x:c r="H113" s="42"/>
      <x:c r="I113" s="42" t="str">
        <x:v>Loans and advances</x:v>
      </x:c>
      <x:c r="J113" s="42" t="str">
        <x:v>annual_balance_sheet.loans_advances</x:v>
      </x:c>
      <x:c r="K113" s="42" t="str">
        <x:v>empty CSV field; never implicit zero</x:v>
      </x:c>
      <x:c r="L113" s="42" t="str">
        <x:v>data/observations_long.csv; metadata/raw_to_analytic.csv</x:v>
      </x:c>
    </x:row>
    <x:row r="114" ht="36" customHeight="1">
      <x:c r="A114" s="41" t="str">
        <x:v>annual_aggregate</x:v>
      </x:c>
      <x:c r="B114" s="41" t="str">
        <x:v>bills_discounted</x:v>
      </x:c>
      <x:c r="C114" s="41" t="str">
        <x:v>Discounted bills</x:v>
      </x:c>
      <x:c r="D114" s="41" t="str">
        <x:v>Published domestic commercial bills; foreign bills are classified with cash-like items.</x:v>
      </x:c>
      <x:c r="E114" s="41" t="str">
        <x:v>number</x:v>
      </x:c>
      <x:c r="F114" s="41" t="str">
        <x:v>million_kc_nominal</x:v>
      </x:c>
      <x:c r="G114" s="41" t="str">
        <x:v>measure</x:v>
      </x:c>
      <x:c r="H114" s="41"/>
      <x:c r="I114" s="41" t="str">
        <x:v>Discounted bills</x:v>
      </x:c>
      <x:c r="J114" s="41" t="str">
        <x:v>annual_balance_sheet.bills_discounted</x:v>
      </x:c>
      <x:c r="K114" s="41" t="str">
        <x:v>empty CSV field; never implicit zero</x:v>
      </x:c>
      <x:c r="L114" s="41" t="str">
        <x:v>data/observations_long.csv; metadata/raw_to_analytic.csv</x:v>
      </x:c>
    </x:row>
    <x:row r="115" ht="36" customHeight="1">
      <x:c r="A115" s="42" t="str">
        <x:v>annual_aggregate</x:v>
      </x:c>
      <x:c r="B115" s="42" t="str">
        <x:v>loans_and_bills</x:v>
      </x:c>
      <x:c r="C115" s="42" t="str">
        <x:v>Loans and bills</x:v>
      </x:c>
      <x:c r="D115" s="42" t="str">
        <x:v>loans_advances + bills_discounted. No missing component is treated as zero.</x:v>
      </x:c>
      <x:c r="E115" s="42" t="str">
        <x:v>number</x:v>
      </x:c>
      <x:c r="F115" s="42" t="str">
        <x:v>million_kc_nominal</x:v>
      </x:c>
      <x:c r="G115" s="42" t="str">
        <x:v>measure</x:v>
      </x:c>
      <x:c r="H115" s="42" t="str">
        <x:v>loans_advances + bills_discounted</x:v>
      </x:c>
      <x:c r="I115" s="42"/>
      <x:c r="J115" s="42"/>
      <x:c r="K115" s="42" t="str">
        <x:v>empty CSV field; never implicit zero</x:v>
      </x:c>
      <x:c r="L115" s="42" t="str">
        <x:v>data/observations_long.csv; metadata/raw_to_analytic.csv</x:v>
      </x:c>
    </x:row>
    <x:row r="116" ht="36" customHeight="1">
      <x:c r="A116" s="41" t="str">
        <x:v>annual_aggregate</x:v>
      </x:c>
      <x:c r="B116" s="41" t="str">
        <x:v>identified_sundry_loans</x:v>
      </x:c>
      <x:c r="C116" s="41" t="str">
        <x:v>Identified sundry loans</x:v>
      </x:c>
      <x:c r="D116" s="41" t="str">
        <x:v>published combined sundry-loan category. No missing component is treated as zero.</x:v>
      </x:c>
      <x:c r="E116" s="41" t="str">
        <x:v>number</x:v>
      </x:c>
      <x:c r="F116" s="41" t="str">
        <x:v>million_kc_nominal</x:v>
      </x:c>
      <x:c r="G116" s="41" t="str">
        <x:v>measure</x:v>
      </x:c>
      <x:c r="H116" s="41" t="str">
        <x:v>published combined sundry-loan category</x:v>
      </x:c>
      <x:c r="I116" s="41"/>
      <x:c r="J116" s="41"/>
      <x:c r="K116" s="41" t="str">
        <x:v>empty CSV field; never implicit zero</x:v>
      </x:c>
      <x:c r="L116" s="41" t="str">
        <x:v>data/observations_long.csv; metadata/raw_to_analytic.csv</x:v>
      </x:c>
    </x:row>
    <x:row r="117" ht="36" customHeight="1">
      <x:c r="A117" s="42" t="str">
        <x:v>annual_aggregate</x:v>
      </x:c>
      <x:c r="B117" s="42" t="str">
        <x:v>extended_credit</x:v>
      </x:c>
      <x:c r="C117" s="42" t="str">
        <x:v>Extended credit</x:v>
      </x:c>
      <x:c r="D117" s="42" t="str">
        <x:v>Loans, bills and identified mortgage/municipal/railway assets; includes bank claims and is not isolated nonfinancial credit.</x:v>
      </x:c>
      <x:c r="E117" s="42" t="str">
        <x:v>number</x:v>
      </x:c>
      <x:c r="F117" s="42" t="str">
        <x:v>million_kc_nominal</x:v>
      </x:c>
      <x:c r="G117" s="42" t="str">
        <x:v>measure</x:v>
      </x:c>
      <x:c r="H117" s="42" t="str">
        <x:v>loans_and_bills + identified_sundry_loans</x:v>
      </x:c>
      <x:c r="I117" s="42"/>
      <x:c r="J117" s="42"/>
      <x:c r="K117" s="42" t="str">
        <x:v>empty CSV field; never implicit zero</x:v>
      </x:c>
      <x:c r="L117" s="42" t="str">
        <x:v>data/observations_long.csv; metadata/raw_to_analytic.csv</x:v>
      </x:c>
    </x:row>
    <x:row r="118" ht="36" customHeight="1">
      <x:c r="A118" s="41" t="str">
        <x:v>annual_aggregate</x:v>
      </x:c>
      <x:c r="B118" s="41" t="str">
        <x:v>broad_cash</x:v>
      </x:c>
      <x:c r="C118" s="41" t="str">
        <x:v>Broad cash</x:v>
      </x:c>
      <x:c r="D118" s="41" t="str">
        <x:v>published combined cash category. No missing component is treated as zero.</x:v>
      </x:c>
      <x:c r="E118" s="41" t="str">
        <x:v>number</x:v>
      </x:c>
      <x:c r="F118" s="41" t="str">
        <x:v>million_kc_nominal</x:v>
      </x:c>
      <x:c r="G118" s="41" t="str">
        <x:v>measure</x:v>
      </x:c>
      <x:c r="H118" s="41" t="str">
        <x:v>published combined cash category</x:v>
      </x:c>
      <x:c r="I118" s="41"/>
      <x:c r="J118" s="41"/>
      <x:c r="K118" s="41" t="str">
        <x:v>empty CSV field; never implicit zero</x:v>
      </x:c>
      <x:c r="L118" s="41" t="str">
        <x:v>data/observations_long.csv; metadata/raw_to_analytic.csv</x:v>
      </x:c>
    </x:row>
    <x:row r="119" ht="36" customHeight="1">
      <x:c r="A119" s="42" t="str">
        <x:v>annual_aggregate</x:v>
      </x:c>
      <x:c r="B119" s="42" t="str">
        <x:v>securities</x:v>
      </x:c>
      <x:c r="C119" s="42" t="str">
        <x:v>Investments and securities</x:v>
      </x:c>
      <x:c r="D119" s="42" t="str">
        <x:v>Published aggregate; government and other issuers are not separated.</x:v>
      </x:c>
      <x:c r="E119" s="42" t="str">
        <x:v>number</x:v>
      </x:c>
      <x:c r="F119" s="42" t="str">
        <x:v>million_kc_nominal</x:v>
      </x:c>
      <x:c r="G119" s="42" t="str">
        <x:v>measure</x:v>
      </x:c>
      <x:c r="H119" s="42"/>
      <x:c r="I119" s="42" t="str">
        <x:v>Investments and securities</x:v>
      </x:c>
      <x:c r="J119" s="42" t="str">
        <x:v>annual_balance_sheet.investments_securities</x:v>
      </x:c>
      <x:c r="K119" s="42" t="str">
        <x:v>empty CSV field; never implicit zero</x:v>
      </x:c>
      <x:c r="L119" s="42" t="str">
        <x:v>data/observations_long.csv; metadata/raw_to_analytic.csv</x:v>
      </x:c>
    </x:row>
    <x:row r="120" ht="36" customHeight="1">
      <x:c r="A120" s="41" t="str">
        <x:v>annual_aggregate</x:v>
      </x:c>
      <x:c r="B120" s="41" t="str">
        <x:v>participations</x:v>
      </x:c>
      <x:c r="C120" s="41" t="str">
        <x:v>Participations</x:v>
      </x:c>
      <x:c r="D120" s="41" t="str">
        <x:v>Reported equity/participation interests, separately classified from investments and securities.</x:v>
      </x:c>
      <x:c r="E120" s="41" t="str">
        <x:v>number</x:v>
      </x:c>
      <x:c r="F120" s="41" t="str">
        <x:v>million_kc_nominal</x:v>
      </x:c>
      <x:c r="G120" s="41" t="str">
        <x:v>measure</x:v>
      </x:c>
      <x:c r="H120" s="41"/>
      <x:c r="I120" s="41" t="str">
        <x:v>Participations</x:v>
      </x:c>
      <x:c r="J120" s="41" t="str">
        <x:v>annual_balance_sheet.participations</x:v>
      </x:c>
      <x:c r="K120" s="41" t="str">
        <x:v>empty CSV field; never implicit zero</x:v>
      </x:c>
      <x:c r="L120" s="41" t="str">
        <x:v>data/observations_long.csv; metadata/raw_to_analytic.csv</x:v>
      </x:c>
    </x:row>
    <x:row r="121" ht="36" customHeight="1">
      <x:c r="A121" s="42" t="str">
        <x:v>annual_aggregate</x:v>
      </x:c>
      <x:c r="B121" s="42" t="str">
        <x:v>premises</x:v>
      </x:c>
      <x:c r="C121" s="42" t="str">
        <x:v>Premises and related fixed assets</x:v>
      </x:c>
      <x:c r="D121" s="42" t="str">
        <x:v>Bank premises, furniture and related assets for own use.</x:v>
      </x:c>
      <x:c r="E121" s="42" t="str">
        <x:v>number</x:v>
      </x:c>
      <x:c r="F121" s="42" t="str">
        <x:v>million_kc_nominal</x:v>
      </x:c>
      <x:c r="G121" s="42" t="str">
        <x:v>measure</x:v>
      </x:c>
      <x:c r="H121" s="42"/>
      <x:c r="I121" s="42" t="str">
        <x:v>Premises and related fixed assets</x:v>
      </x:c>
      <x:c r="J121" s="42" t="str">
        <x:v>annual_balance_sheet.premises</x:v>
      </x:c>
      <x:c r="K121" s="42" t="str">
        <x:v>empty CSV field; never implicit zero</x:v>
      </x:c>
      <x:c r="L121" s="42" t="str">
        <x:v>data/observations_long.csv; metadata/raw_to_analytic.csv</x:v>
      </x:c>
    </x:row>
    <x:row r="122" ht="36" customHeight="1">
      <x:c r="A122" s="41" t="str">
        <x:v>annual_aggregate</x:v>
      </x:c>
      <x:c r="B122" s="41" t="str">
        <x:v>sundry_assets</x:v>
      </x:c>
      <x:c r="C122" s="41" t="str">
        <x:v>Sundry assets</x:v>
      </x:c>
      <x:c r="D122" s="41" t="str">
        <x:v>Includes special mortgage/municipal/railway loans, other real estate, temporary accounts and, from 1934, a reported net-loss item.</x:v>
      </x:c>
      <x:c r="E122" s="41" t="str">
        <x:v>number</x:v>
      </x:c>
      <x:c r="F122" s="41" t="str">
        <x:v>million_kc_nominal</x:v>
      </x:c>
      <x:c r="G122" s="41" t="str">
        <x:v>measure</x:v>
      </x:c>
      <x:c r="H122" s="41"/>
      <x:c r="I122" s="41" t="str">
        <x:v>Sundry assets</x:v>
      </x:c>
      <x:c r="J122" s="41" t="str">
        <x:v>annual_balance_sheet.sundry_assets</x:v>
      </x:c>
      <x:c r="K122" s="41" t="str">
        <x:v>empty CSV field; never implicit zero</x:v>
      </x:c>
      <x:c r="L122" s="41" t="str">
        <x:v>data/observations_long.csv; metadata/raw_to_analytic.csv</x:v>
      </x:c>
    </x:row>
    <x:row r="123" ht="36" customHeight="1">
      <x:c r="A123" s="42" t="str">
        <x:v>annual_aggregate</x:v>
      </x:c>
      <x:c r="B123" s="42" t="str">
        <x:v>paid_capital</x:v>
      </x:c>
      <x:c r="C123" s="42" t="str">
        <x:v>Paid-up capital</x:v>
      </x:c>
      <x:c r="D123" s="42" t="str">
        <x:v>Reported paid-in share capital; not risk-weighted regulatory capital.</x:v>
      </x:c>
      <x:c r="E123" s="42" t="str">
        <x:v>number</x:v>
      </x:c>
      <x:c r="F123" s="42" t="str">
        <x:v>million_kc_nominal</x:v>
      </x:c>
      <x:c r="G123" s="42" t="str">
        <x:v>measure</x:v>
      </x:c>
      <x:c r="H123" s="42"/>
      <x:c r="I123" s="42" t="str">
        <x:v>Paid-up capital</x:v>
      </x:c>
      <x:c r="J123" s="42" t="str">
        <x:v>annual_balance_sheet.capital_paid</x:v>
      </x:c>
      <x:c r="K123" s="42" t="str">
        <x:v>empty CSV field; never implicit zero</x:v>
      </x:c>
      <x:c r="L123" s="42" t="str">
        <x:v>data/observations_long.csv; metadata/raw_to_analytic.csv</x:v>
      </x:c>
    </x:row>
    <x:row r="124" ht="36" customHeight="1">
      <x:c r="A124" s="41" t="str">
        <x:v>annual_aggregate</x:v>
      </x:c>
      <x:c r="B124" s="41" t="str">
        <x:v>loss_covering_reserves</x:v>
      </x:c>
      <x:c r="C124" s="41" t="str">
        <x:v>Reserve funds</x:v>
      </x:c>
      <x:c r="D124" s="41" t="str">
        <x:v>Published reserves serving as cover for losses; other funds are in sundry liabilities.</x:v>
      </x:c>
      <x:c r="E124" s="41" t="str">
        <x:v>number</x:v>
      </x:c>
      <x:c r="F124" s="41" t="str">
        <x:v>million_kc_nominal</x:v>
      </x:c>
      <x:c r="G124" s="41" t="str">
        <x:v>measure</x:v>
      </x:c>
      <x:c r="H124" s="41"/>
      <x:c r="I124" s="41" t="str">
        <x:v>Reserve funds</x:v>
      </x:c>
      <x:c r="J124" s="41" t="str">
        <x:v>annual_balance_sheet.reserve_funds</x:v>
      </x:c>
      <x:c r="K124" s="41" t="str">
        <x:v>empty CSV field; never implicit zero</x:v>
      </x:c>
      <x:c r="L124" s="41" t="str">
        <x:v>data/observations_long.csv; metadata/raw_to_analytic.csv</x:v>
      </x:c>
    </x:row>
    <x:row r="125" ht="36" customHeight="1">
      <x:c r="A125" s="42" t="str">
        <x:v>annual_aggregate</x:v>
      </x:c>
      <x:c r="B125" s="42" t="str">
        <x:v>capital_and_reserves</x:v>
      </x:c>
      <x:c r="C125" s="42" t="str">
        <x:v>Capital and reserves</x:v>
      </x:c>
      <x:c r="D125" s="42" t="str">
        <x:v>capital_paid + reserve_funds. No missing component is treated as zero.</x:v>
      </x:c>
      <x:c r="E125" s="42" t="str">
        <x:v>number</x:v>
      </x:c>
      <x:c r="F125" s="42" t="str">
        <x:v>million_kc_nominal</x:v>
      </x:c>
      <x:c r="G125" s="42" t="str">
        <x:v>measure</x:v>
      </x:c>
      <x:c r="H125" s="42" t="str">
        <x:v>capital_paid + reserve_funds</x:v>
      </x:c>
      <x:c r="I125" s="42"/>
      <x:c r="J125" s="42"/>
      <x:c r="K125" s="42" t="str">
        <x:v>empty CSV field; never implicit zero</x:v>
      </x:c>
      <x:c r="L125" s="42" t="str">
        <x:v>data/observations_long.csv; metadata/raw_to_analytic.csv</x:v>
      </x:c>
    </x:row>
    <x:row r="126" ht="36" customHeight="1">
      <x:c r="A126" s="41" t="str">
        <x:v>annual_aggregate</x:v>
      </x:c>
      <x:c r="B126" s="41" t="str">
        <x:v>balance_sheet_profit</x:v>
      </x:c>
      <x:c r="C126" s="41" t="str">
        <x:v>Balance-sheet profit-and-loss account</x:v>
      </x:c>
      <x:c r="D126" s="41" t="str">
        <x:v>Stock item on the liability side; distinct from annual remaining net profit or loss.</x:v>
      </x:c>
      <x:c r="E126" s="41" t="str">
        <x:v>number</x:v>
      </x:c>
      <x:c r="F126" s="41" t="str">
        <x:v>million_kc_nominal</x:v>
      </x:c>
      <x:c r="G126" s="41" t="str">
        <x:v>measure</x:v>
      </x:c>
      <x:c r="H126" s="41"/>
      <x:c r="I126" s="41" t="str">
        <x:v>Balance-sheet profit-and-loss account</x:v>
      </x:c>
      <x:c r="J126" s="41" t="str">
        <x:v>annual_balance_sheet.pnl_balance</x:v>
      </x:c>
      <x:c r="K126" s="41" t="str">
        <x:v>empty CSV field; never implicit zero</x:v>
      </x:c>
      <x:c r="L126" s="41" t="str">
        <x:v>data/observations_long.csv; metadata/raw_to_analytic.csv</x:v>
      </x:c>
    </x:row>
    <x:row r="127" ht="36" customHeight="1">
      <x:c r="A127" s="42" t="str">
        <x:v>annual_aggregate</x:v>
      </x:c>
      <x:c r="B127" s="42" t="str">
        <x:v>reported_deposits_total</x:v>
      </x:c>
      <x:c r="C127" s="42" t="str">
        <x:v>Reported deposits</x:v>
      </x:c>
      <x:c r="D127" s="42" t="str">
        <x:v>Total published deposit item; bank creditors separately excluded from 1920, included in 1919.</x:v>
      </x:c>
      <x:c r="E127" s="42" t="str">
        <x:v>number</x:v>
      </x:c>
      <x:c r="F127" s="42" t="str">
        <x:v>million_kc_nominal</x:v>
      </x:c>
      <x:c r="G127" s="42" t="str">
        <x:v>measure</x:v>
      </x:c>
      <x:c r="H127" s="42"/>
      <x:c r="I127" s="42" t="str">
        <x:v>Reported deposits</x:v>
      </x:c>
      <x:c r="J127" s="42" t="str">
        <x:v>annual_balance_sheet.total_deposits</x:v>
      </x:c>
      <x:c r="K127" s="42" t="str">
        <x:v>empty CSV field; never implicit zero</x:v>
      </x:c>
      <x:c r="L127" s="42" t="str">
        <x:v>data/observations_long.csv; metadata/raw_to_analytic.csv</x:v>
      </x:c>
    </x:row>
    <x:row r="128" ht="50" customHeight="1">
      <x:c r="A128" s="41" t="str">
        <x:v>annual_aggregate</x:v>
      </x:c>
      <x:c r="B128" s="41" t="str">
        <x:v>total_deposits</x:v>
      </x:c>
      <x:c r="C128" s="41" t="str">
        <x:v>Total deposits</x:v>
      </x:c>
      <x:c r="D128" s="41" t="str">
        <x:v>Comparable reported deposit total, excluding separately classified bank creditors; blank in 1919. The original 1919 amount remains in reported_deposits_total.</x:v>
      </x:c>
      <x:c r="E128" s="41" t="str">
        <x:v>number</x:v>
      </x:c>
      <x:c r="F128" s="41" t="str">
        <x:v>million_kc_nominal</x:v>
      </x:c>
      <x:c r="G128" s="41" t="str">
        <x:v>measure</x:v>
      </x:c>
      <x:c r="H128" s="41" t="str">
        <x:v>reported_deposits_total for 1920-1937; blank in 1919</x:v>
      </x:c>
      <x:c r="I128" s="41"/>
      <x:c r="J128" s="41"/>
      <x:c r="K128" s="41" t="str">
        <x:v>empty CSV field; never implicit zero</x:v>
      </x:c>
      <x:c r="L128" s="41" t="str">
        <x:v>data/observations_long.csv; metadata/raw_to_analytic.csv</x:v>
      </x:c>
    </x:row>
    <x:row r="129" ht="36" customHeight="1">
      <x:c r="A129" s="42" t="str">
        <x:v>annual_aggregate</x:v>
      </x:c>
      <x:c r="B129" s="42" t="str">
        <x:v>due_to_banks</x:v>
      </x:c>
      <x:c r="C129" s="42" t="str">
        <x:v>Amounts due to banks</x:v>
      </x:c>
      <x:c r="D129" s="42" t="str">
        <x:v>Gross reported bank/correspondent liabilities; domestic and foreign creditors not separated; intragroup counterparts not consolidated.</x:v>
      </x:c>
      <x:c r="E129" s="42" t="str">
        <x:v>number</x:v>
      </x:c>
      <x:c r="F129" s="42" t="str">
        <x:v>million_kc_nominal</x:v>
      </x:c>
      <x:c r="G129" s="42" t="str">
        <x:v>measure</x:v>
      </x:c>
      <x:c r="H129" s="42"/>
      <x:c r="I129" s="42" t="str">
        <x:v>Amounts due to banks</x:v>
      </x:c>
      <x:c r="J129" s="42" t="str">
        <x:v>annual_balance_sheet.due_to_banks</x:v>
      </x:c>
      <x:c r="K129" s="42" t="str">
        <x:v>empty CSV field; never implicit zero</x:v>
      </x:c>
      <x:c r="L129" s="42" t="str">
        <x:v>data/observations_long.csv; metadata/raw_to_analytic.csv</x:v>
      </x:c>
    </x:row>
    <x:row r="130" ht="36" customHeight="1">
      <x:c r="A130" s="41" t="str">
        <x:v>annual_aggregate</x:v>
      </x:c>
      <x:c r="B130" s="41" t="str">
        <x:v>sundry_liabilities</x:v>
      </x:c>
      <x:c r="C130" s="41" t="str">
        <x:v>Sundry liabilities</x:v>
      </x:c>
      <x:c r="D130" s="41" t="str">
        <x:v>Bonds, mortgage-department accounts, pension and non-loss funds, temporary/sundry accounts.</x:v>
      </x:c>
      <x:c r="E130" s="41" t="str">
        <x:v>number</x:v>
      </x:c>
      <x:c r="F130" s="41" t="str">
        <x:v>million_kc_nominal</x:v>
      </x:c>
      <x:c r="G130" s="41" t="str">
        <x:v>measure</x:v>
      </x:c>
      <x:c r="H130" s="41"/>
      <x:c r="I130" s="41" t="str">
        <x:v>Sundry liabilities</x:v>
      </x:c>
      <x:c r="J130" s="41" t="str">
        <x:v>annual_balance_sheet.sundry_liabilities</x:v>
      </x:c>
      <x:c r="K130" s="41" t="str">
        <x:v>empty CSV field; never implicit zero</x:v>
      </x:c>
      <x:c r="L130" s="41" t="str">
        <x:v>data/observations_long.csv; metadata/raw_to_analytic.csv</x:v>
      </x:c>
    </x:row>
    <x:row r="131" ht="36" customHeight="1">
      <x:c r="A131" s="42" t="str">
        <x:v>annual_aggregate</x:v>
      </x:c>
      <x:c r="B131" s="42" t="str">
        <x:v>net_interest</x:v>
      </x:c>
      <x:c r="C131" s="42" t="str">
        <x:v>Net interest and discounts</x:v>
      </x:c>
      <x:c r="D131" s="42" t="str">
        <x:v>Interest and discount receipts after interest paid; an income flow, not an interest-rate measure.</x:v>
      </x:c>
      <x:c r="E131" s="42" t="str">
        <x:v>number</x:v>
      </x:c>
      <x:c r="F131" s="42" t="str">
        <x:v>million_kc_nominal</x:v>
      </x:c>
      <x:c r="G131" s="42" t="str">
        <x:v>measure</x:v>
      </x:c>
      <x:c r="H131" s="42"/>
      <x:c r="I131" s="42" t="str">
        <x:v>Net interest and discounts</x:v>
      </x:c>
      <x:c r="J131" s="42" t="str">
        <x:v>annual_components.net_interest_discounts</x:v>
      </x:c>
      <x:c r="K131" s="42" t="str">
        <x:v>empty CSV field; never implicit zero</x:v>
      </x:c>
      <x:c r="L131" s="42" t="str">
        <x:v>data/observations_long.csv; metadata/raw_to_analytic.csv</x:v>
      </x:c>
    </x:row>
    <x:row r="132" ht="36" customHeight="1">
      <x:c r="A132" s="41" t="str">
        <x:v>annual_aggregate</x:v>
      </x:c>
      <x:c r="B132" s="41" t="str">
        <x:v>commissions</x:v>
      </x:c>
      <x:c r="C132" s="41" t="str">
        <x:v>Provisions and commissions</x:v>
      </x:c>
      <x:c r="D132" s="41" t="str">
        <x:v>Published fee/commission income component.</x:v>
      </x:c>
      <x:c r="E132" s="41" t="str">
        <x:v>number</x:v>
      </x:c>
      <x:c r="F132" s="41" t="str">
        <x:v>million_kc_nominal</x:v>
      </x:c>
      <x:c r="G132" s="41" t="str">
        <x:v>measure</x:v>
      </x:c>
      <x:c r="H132" s="41"/>
      <x:c r="I132" s="41" t="str">
        <x:v>Provisions and commissions</x:v>
      </x:c>
      <x:c r="J132" s="41" t="str">
        <x:v>annual_components.commissions</x:v>
      </x:c>
      <x:c r="K132" s="41" t="str">
        <x:v>empty CSV field; never implicit zero</x:v>
      </x:c>
      <x:c r="L132" s="41" t="str">
        <x:v>data/observations_long.csv; metadata/raw_to_analytic.csv</x:v>
      </x:c>
    </x:row>
    <x:row r="133" ht="36" customHeight="1">
      <x:c r="A133" s="42" t="str">
        <x:v>annual_aggregate</x:v>
      </x:c>
      <x:c r="B133" s="42" t="str">
        <x:v>gross_profits</x:v>
      </x:c>
      <x:c r="C133" s="42" t="str">
        <x:v>Gross profits</x:v>
      </x:c>
      <x:c r="D133" s="42" t="str">
        <x:v>Published operating income including NET interest/discounts, commissions, securities/participation results and sundry net profits.</x:v>
      </x:c>
      <x:c r="E133" s="42" t="str">
        <x:v>number</x:v>
      </x:c>
      <x:c r="F133" s="42" t="str">
        <x:v>million_kc_nominal</x:v>
      </x:c>
      <x:c r="G133" s="42" t="str">
        <x:v>measure</x:v>
      </x:c>
      <x:c r="H133" s="42"/>
      <x:c r="I133" s="42" t="str">
        <x:v>Gross profits</x:v>
      </x:c>
      <x:c r="J133" s="42" t="str">
        <x:v>annual_income.gross_profits</x:v>
      </x:c>
      <x:c r="K133" s="42" t="str">
        <x:v>empty CSV field; never implicit zero</x:v>
      </x:c>
      <x:c r="L133" s="42" t="str">
        <x:v>data/observations_long.csv; metadata/raw_to_analytic.csv</x:v>
      </x:c>
    </x:row>
    <x:row r="134" ht="36" customHeight="1">
      <x:c r="A134" s="41" t="str">
        <x:v>annual_aggregate</x:v>
      </x:c>
      <x:c r="B134" s="41" t="str">
        <x:v>operating_expenses</x:v>
      </x:c>
      <x:c r="C134" s="41" t="str">
        <x:v>Operating expenses</x:v>
      </x:c>
      <x:c r="D134" s="41" t="str">
        <x:v>Salaries + other working expenses + taxes; interest paid is already deducted from net interest income.</x:v>
      </x:c>
      <x:c r="E134" s="41" t="str">
        <x:v>number</x:v>
      </x:c>
      <x:c r="F134" s="41" t="str">
        <x:v>million_kc_nominal</x:v>
      </x:c>
      <x:c r="G134" s="41" t="str">
        <x:v>measure</x:v>
      </x:c>
      <x:c r="H134" s="41"/>
      <x:c r="I134" s="41" t="str">
        <x:v>Operating expenses</x:v>
      </x:c>
      <x:c r="J134" s="41" t="str">
        <x:v>annual_income.expenses_total</x:v>
      </x:c>
      <x:c r="K134" s="41" t="str">
        <x:v>empty CSV field; never implicit zero</x:v>
      </x:c>
      <x:c r="L134" s="41" t="str">
        <x:v>data/observations_long.csv; metadata/raw_to_analytic.csv</x:v>
      </x:c>
    </x:row>
    <x:row r="135" ht="36" customHeight="1">
      <x:c r="A135" s="42" t="str">
        <x:v>annual_aggregate</x:v>
      </x:c>
      <x:c r="B135" s="42" t="str">
        <x:v>net_profit_loss</x:v>
      </x:c>
      <x:c r="C135" s="42" t="str">
        <x:v>Remaining annual net profit or loss</x:v>
      </x:c>
      <x:c r="D135" s="42" t="str">
        <x:v>Signed annual P&amp;L result, including -607 in 1931 and -4 in 1934; distinct from pnl_balance.</x:v>
      </x:c>
      <x:c r="E135" s="42" t="str">
        <x:v>number</x:v>
      </x:c>
      <x:c r="F135" s="42" t="str">
        <x:v>million_kc_nominal</x:v>
      </x:c>
      <x:c r="G135" s="42" t="str">
        <x:v>measure</x:v>
      </x:c>
      <x:c r="H135" s="42"/>
      <x:c r="I135" s="42" t="str">
        <x:v>Remaining annual net profit or loss</x:v>
      </x:c>
      <x:c r="J135" s="42" t="str">
        <x:v>annual_income.net_profit_loss</x:v>
      </x:c>
      <x:c r="K135" s="42" t="str">
        <x:v>empty CSV field; never implicit zero</x:v>
      </x:c>
      <x:c r="L135" s="42" t="str">
        <x:v>data/observations_long.csv; metadata/raw_to_analytic.csv</x:v>
      </x:c>
    </x:row>
    <x:row r="136" ht="36" customHeight="1">
      <x:c r="A136" s="41" t="str">
        <x:v>annual_aggregate</x:v>
      </x:c>
      <x:c r="B136" s="41" t="str">
        <x:v>writeoffs</x:v>
      </x:c>
      <x:c r="C136" s="41" t="str">
        <x:v>Total write-offs</x:v>
      </x:c>
      <x:c r="D136" s="41" t="str">
        <x:v>Published write-offs across asset categories; not a loan-default or non-performing-loan rate.</x:v>
      </x:c>
      <x:c r="E136" s="41" t="str">
        <x:v>number</x:v>
      </x:c>
      <x:c r="F136" s="41" t="str">
        <x:v>million_kc_nominal</x:v>
      </x:c>
      <x:c r="G136" s="41" t="str">
        <x:v>measure</x:v>
      </x:c>
      <x:c r="H136" s="41"/>
      <x:c r="I136" s="41" t="str">
        <x:v>Total write-offs</x:v>
      </x:c>
      <x:c r="J136" s="41" t="str">
        <x:v>annual_income.writeoffs_total</x:v>
      </x:c>
      <x:c r="K136" s="41" t="str">
        <x:v>empty CSV field; never implicit zero</x:v>
      </x:c>
      <x:c r="L136" s="41" t="str">
        <x:v>data/observations_long.csv; metadata/raw_to_analytic.csv</x:v>
      </x:c>
    </x:row>
    <x:row r="137" ht="36" customHeight="1">
      <x:c r="A137" s="42" t="str">
        <x:v>annual_aggregate</x:v>
      </x:c>
      <x:c r="B137" s="42" t="str">
        <x:v>dividends</x:v>
      </x:c>
      <x:c r="C137" s="42" t="str">
        <x:v>Dividends</x:v>
      </x:c>
      <x:c r="D137" s="42" t="str">
        <x:v>Published component retained without imputation; the original label and source notes are preserved in source_records.csv.</x:v>
      </x:c>
      <x:c r="E137" s="42" t="str">
        <x:v>number</x:v>
      </x:c>
      <x:c r="F137" s="42" t="str">
        <x:v>million_kc_nominal</x:v>
      </x:c>
      <x:c r="G137" s="42" t="str">
        <x:v>measure</x:v>
      </x:c>
      <x:c r="H137" s="42"/>
      <x:c r="I137" s="42" t="str">
        <x:v>Dividends</x:v>
      </x:c>
      <x:c r="J137" s="42" t="str">
        <x:v>annual_income.dividends</x:v>
      </x:c>
      <x:c r="K137" s="42" t="str">
        <x:v>empty CSV field; never implicit zero</x:v>
      </x:c>
      <x:c r="L137" s="42" t="str">
        <x:v>data/observations_long.csv; metadata/raw_to_analytic.csv</x:v>
      </x:c>
    </x:row>
    <x:row r="138" ht="36" customHeight="1">
      <x:c r="A138" s="41" t="str">
        <x:v>annual_aggregate</x:v>
      </x:c>
      <x:c r="B138" s="41" t="str">
        <x:v>deposits_comparable</x:v>
      </x:c>
      <x:c r="C138" s="41" t="str">
        <x:v>Deposits comparable</x:v>
      </x:c>
      <x:c r="D138" s="41" t="str">
        <x:v>True when the deposit item excludes separately identified bank creditors under the 1920-1937 definition; false in 1919.</x:v>
      </x:c>
      <x:c r="E138" s="41" t="str">
        <x:v>boolean</x:v>
      </x:c>
      <x:c r="F138" s="41"/>
      <x:c r="G138" s="41" t="str">
        <x:v>provenance_or_identifier</x:v>
      </x:c>
      <x:c r="H138" s="41"/>
      <x:c r="I138" s="41"/>
      <x:c r="J138" s="41"/>
      <x:c r="K138" s="41" t="str">
        <x:v>empty CSV field; never implicit zero</x:v>
      </x:c>
      <x:c r="L138" s="41" t="str">
        <x:v>data/observations_long.csv; metadata/raw_to_analytic.csv</x:v>
      </x:c>
    </x:row>
    <x:row r="139" ht="36" customHeight="1">
      <x:c r="A139" s="42" t="str">
        <x:v>annual_aggregate</x:v>
      </x:c>
      <x:c r="B139" s="42" t="str">
        <x:v>income_balance_counts_match</x:v>
      </x:c>
      <x:c r="C139" s="42" t="str">
        <x:v>Income balance counts match</x:v>
      </x:c>
      <x:c r="D139" s="42" t="str">
        <x:v>True when published balance-sheet and income counts match. This does not establish identity of individual members.</x:v>
      </x:c>
      <x:c r="E139" s="42" t="str">
        <x:v>boolean</x:v>
      </x:c>
      <x:c r="F139" s="42"/>
      <x:c r="G139" s="42" t="str">
        <x:v>provenance_or_identifier</x:v>
      </x:c>
      <x:c r="H139" s="42"/>
      <x:c r="I139" s="42"/>
      <x:c r="J139" s="42"/>
      <x:c r="K139" s="42" t="str">
        <x:v>empty CSV field; never implicit zero</x:v>
      </x:c>
      <x:c r="L139" s="42" t="str">
        <x:v>data/observations_long.csv; metadata/raw_to_analytic.csv</x:v>
      </x:c>
    </x:row>
    <x:row r="140" ht="36" customHeight="1">
      <x:c r="A140" s="41" t="str">
        <x:v>annual_aggregate</x:v>
      </x:c>
      <x:c r="B140" s="41" t="str">
        <x:v>flags</x:v>
      </x:c>
      <x:c r="C140" s="41" t="str">
        <x:v>Flags</x:v>
      </x:c>
      <x:c r="D140" s="41" t="str">
        <x:v>Semicolon-separated source or comparability exception codes; empty means no listed exception, not an assurance of universal comparability.</x:v>
      </x:c>
      <x:c r="E140" s="41" t="str">
        <x:v>string</x:v>
      </x:c>
      <x:c r="F140" s="41"/>
      <x:c r="G140" s="41" t="str">
        <x:v>provenance_or_identifier</x:v>
      </x:c>
      <x:c r="H140" s="41"/>
      <x:c r="I140" s="41"/>
      <x:c r="J140" s="41"/>
      <x:c r="K140" s="41" t="str">
        <x:v>empty CSV field; never implicit zero</x:v>
      </x:c>
      <x:c r="L140" s="41" t="str">
        <x:v>data/observations_long.csv; metadata/raw_to_analytic.csv</x:v>
      </x:c>
    </x:row>
    <x:row r="141" ht="36" customHeight="1">
      <x:c r="A141" s="42" t="str">
        <x:v>annual_aggregate</x:v>
      </x:c>
      <x:c r="B141" s="42" t="str">
        <x:v>source_ids</x:v>
      </x:c>
      <x:c r="C141" s="42" t="str">
        <x:v>Source ids</x:v>
      </x:c>
      <x:c r="D141" s="42" t="str">
        <x:v>Semicolon-separated source identifiers joining metadata/source_index.csv.</x:v>
      </x:c>
      <x:c r="E141" s="42" t="str">
        <x:v>string</x:v>
      </x:c>
      <x:c r="F141" s="42"/>
      <x:c r="G141" s="42" t="str">
        <x:v>provenance_or_identifier</x:v>
      </x:c>
      <x:c r="H141" s="42"/>
      <x:c r="I141" s="42"/>
      <x:c r="J141" s="42"/>
      <x:c r="K141" s="42" t="str">
        <x:v>empty CSV field; never implicit zero</x:v>
      </x:c>
      <x:c r="L141" s="42" t="str">
        <x:v>data/observations_long.csv; metadata/raw_to_analytic.csv</x:v>
      </x:c>
    </x:row>
    <x:row r="142" ht="36" customHeight="1">
      <x:c r="A142" s="41" t="str">
        <x:v>annual_aggregate</x:v>
      </x:c>
      <x:c r="B142" s="41" t="str">
        <x:v>source_entry_ids</x:v>
      </x:c>
      <x:c r="C142" s="41" t="str">
        <x:v>Source entry ids</x:v>
      </x:c>
      <x:c r="D142" s="41" t="str">
        <x:v>Semicolon-separated source-table entries joining metadata/source_entry_index.csv.</x:v>
      </x:c>
      <x:c r="E142" s="41" t="str">
        <x:v>string</x:v>
      </x:c>
      <x:c r="F142" s="41"/>
      <x:c r="G142" s="41" t="str">
        <x:v>provenance_or_identifier</x:v>
      </x:c>
      <x:c r="H142" s="41"/>
      <x:c r="I142" s="41"/>
      <x:c r="J142" s="41"/>
      <x:c r="K142" s="41" t="str">
        <x:v>empty CSV field; never implicit zero</x:v>
      </x:c>
      <x:c r="L142" s="41" t="str">
        <x:v>data/observations_long.csv; metadata/raw_to_analytic.csv</x:v>
      </x:c>
    </x:row>
    <x:row r="143" ht="36" customHeight="1">
      <x:c r="A143" s="42" t="str">
        <x:v>bank_panel</x:v>
      </x:c>
      <x:c r="B143" s="42" t="str">
        <x:v>bank_id</x:v>
      </x:c>
      <x:c r="C143" s="42" t="str">
        <x:v>Bank id</x:v>
      </x:c>
      <x:c r="D143" s="42" t="str">
        <x:v>Stable ASCII institution identifier retained from the accepted named-bank panel.</x:v>
      </x:c>
      <x:c r="E143" s="42" t="str">
        <x:v>string</x:v>
      </x:c>
      <x:c r="F143" s="42"/>
      <x:c r="G143" s="42" t="str">
        <x:v>provenance_or_identifier</x:v>
      </x:c>
      <x:c r="H143" s="42"/>
      <x:c r="I143" s="42"/>
      <x:c r="J143" s="42"/>
      <x:c r="K143" s="42" t="str">
        <x:v>empty CSV field; never implicit zero</x:v>
      </x:c>
      <x:c r="L143" s="42" t="str">
        <x:v>data/observations_long.csv; metadata/raw_to_analytic.csv</x:v>
      </x:c>
    </x:row>
    <x:row r="144" ht="36" customHeight="1">
      <x:c r="A144" s="41" t="str">
        <x:v>bank_panel</x:v>
      </x:c>
      <x:c r="B144" s="41" t="str">
        <x:v>bank_name</x:v>
      </x:c>
      <x:c r="C144" s="41" t="str">
        <x:v>Bank name</x:v>
      </x:c>
      <x:c r="D144" s="41" t="str">
        <x:v>UTF-8 canonical bank name; spelling retains historical Czech/German names.</x:v>
      </x:c>
      <x:c r="E144" s="41" t="str">
        <x:v>string</x:v>
      </x:c>
      <x:c r="F144" s="41"/>
      <x:c r="G144" s="41" t="str">
        <x:v>provenance_or_identifier</x:v>
      </x:c>
      <x:c r="H144" s="41"/>
      <x:c r="I144" s="41"/>
      <x:c r="J144" s="41"/>
      <x:c r="K144" s="41" t="str">
        <x:v>empty CSV field; never implicit zero</x:v>
      </x:c>
      <x:c r="L144" s="41" t="str">
        <x:v>data/observations_long.csv; metadata/raw_to_analytic.csv</x:v>
      </x:c>
    </x:row>
    <x:row r="145" ht="36" customHeight="1">
      <x:c r="A145" s="42" t="str">
        <x:v>bank_panel</x:v>
      </x:c>
      <x:c r="B145" s="42" t="str">
        <x:v>year</x:v>
      </x:c>
      <x:c r="C145" s="42" t="str">
        <x:v>Year</x:v>
      </x:c>
      <x:c r="D145" s="42" t="str">
        <x:v>Calendar year of the observation; balance-sheet stocks are year-end unless a source-date field says otherwise.</x:v>
      </x:c>
      <x:c r="E145" s="42" t="str">
        <x:v>integer</x:v>
      </x:c>
      <x:c r="F145" s="42"/>
      <x:c r="G145" s="42" t="str">
        <x:v>provenance_or_identifier</x:v>
      </x:c>
      <x:c r="H145" s="42"/>
      <x:c r="I145" s="42"/>
      <x:c r="J145" s="42"/>
      <x:c r="K145" s="42" t="str">
        <x:v>empty CSV field; never implicit zero</x:v>
      </x:c>
      <x:c r="L145" s="42" t="str">
        <x:v>data/observations_long.csv; metadata/raw_to_analytic.csv</x:v>
      </x:c>
    </x:row>
    <x:row r="146" ht="36" customHeight="1">
      <x:c r="A146" s="41" t="str">
        <x:v>bank_panel</x:v>
      </x:c>
      <x:c r="B146" s="41" t="str">
        <x:v>population_id</x:v>
      </x:c>
      <x:c r="C146" s="41" t="str">
        <x:v>Population id</x:v>
      </x:c>
      <x:c r="D146" s="41" t="str">
        <x:v>Join key to metadata/population_definitions.csv; populations must not be pooled or added without a defined bridge.</x:v>
      </x:c>
      <x:c r="E146" s="41" t="str">
        <x:v>string</x:v>
      </x:c>
      <x:c r="F146" s="41"/>
      <x:c r="G146" s="41" t="str">
        <x:v>provenance_or_identifier</x:v>
      </x:c>
      <x:c r="H146" s="41"/>
      <x:c r="I146" s="41"/>
      <x:c r="J146" s="41"/>
      <x:c r="K146" s="41" t="str">
        <x:v>empty CSV field; never implicit zero</x:v>
      </x:c>
      <x:c r="L146" s="41" t="str">
        <x:v>data/observations_long.csv; metadata/raw_to_analytic.csv</x:v>
      </x:c>
    </x:row>
    <x:row r="147" ht="36" customHeight="1">
      <x:c r="A147" s="42" t="str">
        <x:v>bank_panel</x:v>
      </x:c>
      <x:c r="B147" s="42" t="str">
        <x:v>total_assets</x:v>
      </x:c>
      <x:c r="C147" s="42" t="str">
        <x:v>total assets</x:v>
      </x:c>
      <x:c r="D147" s="42" t="str">
        <x:v>Published annual balance-sheet total; Moravská 1933 component discrepancy is retained.</x:v>
      </x:c>
      <x:c r="E147" s="42" t="str">
        <x:v>number</x:v>
      </x:c>
      <x:c r="F147" s="42" t="str">
        <x:v>million_kc_nominal</x:v>
      </x:c>
      <x:c r="G147" s="42" t="str">
        <x:v>measure</x:v>
      </x:c>
      <x:c r="H147" s="42"/>
      <x:c r="I147" s="42" t="str">
        <x:v>total assets</x:v>
      </x:c>
      <x:c r="J147" s="42" t="str">
        <x:v>total_assets</x:v>
      </x:c>
      <x:c r="K147" s="42" t="str">
        <x:v>empty CSV field; never implicit zero</x:v>
      </x:c>
      <x:c r="L147" s="42" t="str">
        <x:v>data/observations_long.csv; metadata/raw_to_analytic.csv</x:v>
      </x:c>
    </x:row>
    <x:row r="148" ht="36" customHeight="1">
      <x:c r="A148" s="41" t="str">
        <x:v>bank_panel</x:v>
      </x:c>
      <x:c r="B148" s="41" t="str">
        <x:v>cash</x:v>
      </x:c>
      <x:c r="C148" s="41" t="str">
        <x:v>hotovosti</x:v>
      </x:c>
      <x:c r="D148" s="41" t="str">
        <x:v>Source hotovosti; Sporobanka includes Treasury bills, so this is not vault cash or central-bank reserves alone.</x:v>
      </x:c>
      <x:c r="E148" s="41" t="str">
        <x:v>number</x:v>
      </x:c>
      <x:c r="F148" s="41" t="str">
        <x:v>million_kc_nominal</x:v>
      </x:c>
      <x:c r="G148" s="41" t="str">
        <x:v>measure</x:v>
      </x:c>
      <x:c r="H148" s="41"/>
      <x:c r="I148" s="41" t="str">
        <x:v>hotovosti</x:v>
      </x:c>
      <x:c r="J148" s="41" t="str">
        <x:v>cash_source_hotovosti</x:v>
      </x:c>
      <x:c r="K148" s="41" t="str">
        <x:v>empty CSV field; never implicit zero</x:v>
      </x:c>
      <x:c r="L148" s="41" t="str">
        <x:v>data/observations_long.csv; metadata/raw_to_analytic.csv</x:v>
      </x:c>
    </x:row>
    <x:row r="149" ht="36" customHeight="1">
      <x:c r="A149" s="42" t="str">
        <x:v>bank_panel</x:v>
      </x:c>
      <x:c r="B149" s="42" t="str">
        <x:v>bills</x:v>
      </x:c>
      <x:c r="C149" s="42" t="str">
        <x:v>směnky</x:v>
      </x:c>
      <x:c r="D149" s="42" t="str">
        <x:v>Source bills; combined with debtors only as a lending-related aggregate, not exclusively nonfinancial credit.</x:v>
      </x:c>
      <x:c r="E149" s="42" t="str">
        <x:v>number</x:v>
      </x:c>
      <x:c r="F149" s="42" t="str">
        <x:v>million_kc_nominal</x:v>
      </x:c>
      <x:c r="G149" s="42" t="str">
        <x:v>measure</x:v>
      </x:c>
      <x:c r="H149" s="42"/>
      <x:c r="I149" s="42" t="str">
        <x:v>směnky</x:v>
      </x:c>
      <x:c r="J149" s="42" t="str">
        <x:v>bills_source_smenky</x:v>
      </x:c>
      <x:c r="K149" s="42" t="str">
        <x:v>empty CSV field; never implicit zero</x:v>
      </x:c>
      <x:c r="L149" s="42" t="str">
        <x:v>data/observations_long.csv; metadata/raw_to_analytic.csv</x:v>
      </x:c>
    </x:row>
    <x:row r="150" ht="36" customHeight="1">
      <x:c r="A150" s="41" t="str">
        <x:v>bank_panel</x:v>
      </x:c>
      <x:c r="B150" s="41" t="str">
        <x:v>securities</x:v>
      </x:c>
      <x:c r="C150" s="41" t="str">
        <x:v>efekty</x:v>
      </x:c>
      <x:c r="D150" s="41" t="str">
        <x:v>Source securities; Všeobecná družstevní includes participations in this line.</x:v>
      </x:c>
      <x:c r="E150" s="41" t="str">
        <x:v>number</x:v>
      </x:c>
      <x:c r="F150" s="41" t="str">
        <x:v>million_kc_nominal</x:v>
      </x:c>
      <x:c r="G150" s="41" t="str">
        <x:v>measure</x:v>
      </x:c>
      <x:c r="H150" s="41"/>
      <x:c r="I150" s="41" t="str">
        <x:v>efekty</x:v>
      </x:c>
      <x:c r="J150" s="41" t="str">
        <x:v>securities_source_efekty</x:v>
      </x:c>
      <x:c r="K150" s="41" t="str">
        <x:v>empty CSV field; never implicit zero</x:v>
      </x:c>
      <x:c r="L150" s="41" t="str">
        <x:v>data/observations_long.csv; metadata/raw_to_analytic.csv</x:v>
      </x:c>
    </x:row>
    <x:row r="151" ht="36" customHeight="1">
      <x:c r="A151" s="42" t="str">
        <x:v>bank_panel</x:v>
      </x:c>
      <x:c r="B151" s="42" t="str">
        <x:v>participations</x:v>
      </x:c>
      <x:c r="C151" s="42" t="str">
        <x:v>účasti</x:v>
      </x:c>
      <x:c r="D151" s="42" t="str">
        <x:v>Separately reported participation holdings; absent as a separate line for Všeobecná družstevní.</x:v>
      </x:c>
      <x:c r="E151" s="42" t="str">
        <x:v>number</x:v>
      </x:c>
      <x:c r="F151" s="42" t="str">
        <x:v>million_kc_nominal</x:v>
      </x:c>
      <x:c r="G151" s="42" t="str">
        <x:v>measure</x:v>
      </x:c>
      <x:c r="H151" s="42"/>
      <x:c r="I151" s="42" t="str">
        <x:v>účasti</x:v>
      </x:c>
      <x:c r="J151" s="42" t="str">
        <x:v>participations_source_ucasti</x:v>
      </x:c>
      <x:c r="K151" s="42" t="str">
        <x:v>empty CSV field; never implicit zero</x:v>
      </x:c>
      <x:c r="L151" s="42" t="str">
        <x:v>data/observations_long.csv; metadata/raw_to_analytic.csv</x:v>
      </x:c>
    </x:row>
    <x:row r="152" ht="36" customHeight="1">
      <x:c r="A152" s="41" t="str">
        <x:v>bank_panel</x:v>
      </x:c>
      <x:c r="B152" s="41" t="str">
        <x:v>debtors</x:v>
      </x:c>
      <x:c r="C152" s="41" t="str">
        <x:v>dlužníci</x:v>
      </x:c>
      <x:c r="D152" s="41" t="str">
        <x:v>Source debtors; counterparty sectors and interbank claims are not separately identified.</x:v>
      </x:c>
      <x:c r="E152" s="41" t="str">
        <x:v>number</x:v>
      </x:c>
      <x:c r="F152" s="41" t="str">
        <x:v>million_kc_nominal</x:v>
      </x:c>
      <x:c r="G152" s="41" t="str">
        <x:v>measure</x:v>
      </x:c>
      <x:c r="H152" s="41"/>
      <x:c r="I152" s="41" t="str">
        <x:v>dlužníci</x:v>
      </x:c>
      <x:c r="J152" s="41" t="str">
        <x:v>debtors_source_dluznici</x:v>
      </x:c>
      <x:c r="K152" s="41" t="str">
        <x:v>empty CSV field; never implicit zero</x:v>
      </x:c>
      <x:c r="L152" s="41" t="str">
        <x:v>data/observations_long.csv; metadata/raw_to_analytic.csv</x:v>
      </x:c>
    </x:row>
    <x:row r="153" ht="36" customHeight="1">
      <x:c r="A153" s="42" t="str">
        <x:v>bank_panel</x:v>
      </x:c>
      <x:c r="B153" s="42" t="str">
        <x:v>premises</x:v>
      </x:c>
      <x:c r="C153" s="42" t="str">
        <x:v>budovy</x:v>
      </x:c>
      <x:c r="D153" s="42" t="str">
        <x:v>Published premises category, retained separately without imputation.</x:v>
      </x:c>
      <x:c r="E153" s="42" t="str">
        <x:v>number</x:v>
      </x:c>
      <x:c r="F153" s="42" t="str">
        <x:v>million_kc_nominal</x:v>
      </x:c>
      <x:c r="G153" s="42" t="str">
        <x:v>measure</x:v>
      </x:c>
      <x:c r="H153" s="42"/>
      <x:c r="I153" s="42" t="str">
        <x:v>budovy</x:v>
      </x:c>
      <x:c r="J153" s="42" t="str">
        <x:v>premises_source_budovy</x:v>
      </x:c>
      <x:c r="K153" s="42" t="str">
        <x:v>empty CSV field; never implicit zero</x:v>
      </x:c>
      <x:c r="L153" s="42" t="str">
        <x:v>data/observations_long.csv; metadata/raw_to_analytic.csv</x:v>
      </x:c>
    </x:row>
    <x:row r="154" ht="36" customHeight="1">
      <x:c r="A154" s="41" t="str">
        <x:v>bank_panel</x:v>
      </x:c>
      <x:c r="B154" s="41" t="str">
        <x:v>other_assets</x:v>
      </x:c>
      <x:c r="C154" s="41" t="str">
        <x:v>různé (aktiva)</x:v>
      </x:c>
      <x:c r="D154" s="41" t="str">
        <x:v>Published other assets category, retained separately without imputation.</x:v>
      </x:c>
      <x:c r="E154" s="41" t="str">
        <x:v>number</x:v>
      </x:c>
      <x:c r="F154" s="41" t="str">
        <x:v>million_kc_nominal</x:v>
      </x:c>
      <x:c r="G154" s="41" t="str">
        <x:v>measure</x:v>
      </x:c>
      <x:c r="H154" s="41"/>
      <x:c r="I154" s="41" t="str">
        <x:v>různé (aktiva)</x:v>
      </x:c>
      <x:c r="J154" s="41" t="str">
        <x:v>other_assets_source_ruzne</x:v>
      </x:c>
      <x:c r="K154" s="41" t="str">
        <x:v>empty CSV field; never implicit zero</x:v>
      </x:c>
      <x:c r="L154" s="41" t="str">
        <x:v>data/observations_long.csv; metadata/raw_to_analytic.csv</x:v>
      </x:c>
    </x:row>
    <x:row r="155" ht="36" customHeight="1">
      <x:c r="A155" s="42" t="str">
        <x:v>bank_panel</x:v>
      </x:c>
      <x:c r="B155" s="42" t="str">
        <x:v>paid_capital</x:v>
      </x:c>
      <x:c r="C155" s="42" t="str">
        <x:v>akciový kapitál</x:v>
      </x:c>
      <x:c r="D155" s="42" t="str">
        <x:v>Published paid share capital; separate from published reserves and other funds.</x:v>
      </x:c>
      <x:c r="E155" s="42" t="str">
        <x:v>number</x:v>
      </x:c>
      <x:c r="F155" s="42" t="str">
        <x:v>million_kc_nominal</x:v>
      </x:c>
      <x:c r="G155" s="42" t="str">
        <x:v>measure</x:v>
      </x:c>
      <x:c r="H155" s="42"/>
      <x:c r="I155" s="42" t="str">
        <x:v>akciový kapitál</x:v>
      </x:c>
      <x:c r="J155" s="42" t="str">
        <x:v>capital</x:v>
      </x:c>
      <x:c r="K155" s="42" t="str">
        <x:v>empty CSV field; never implicit zero</x:v>
      </x:c>
      <x:c r="L155" s="42" t="str">
        <x:v>data/observations_long.csv; metadata/raw_to_analytic.csv</x:v>
      </x:c>
    </x:row>
    <x:row r="156" ht="36" customHeight="1">
      <x:c r="A156" s="41" t="str">
        <x:v>bank_panel</x:v>
      </x:c>
      <x:c r="B156" s="41" t="str">
        <x:v>published_reserves</x:v>
      </x:c>
      <x:c r="C156" s="41" t="str">
        <x:v>reservy</x:v>
      </x:c>
      <x:c r="D156" s="41" t="str">
        <x:v>Published reserve line. Hidden reserves, separate stabilization funds and other funds are not mechanically added.</x:v>
      </x:c>
      <x:c r="E156" s="41" t="str">
        <x:v>number</x:v>
      </x:c>
      <x:c r="F156" s="41" t="str">
        <x:v>million_kc_nominal</x:v>
      </x:c>
      <x:c r="G156" s="41" t="str">
        <x:v>measure</x:v>
      </x:c>
      <x:c r="H156" s="41"/>
      <x:c r="I156" s="41" t="str">
        <x:v>reservy</x:v>
      </x:c>
      <x:c r="J156" s="41" t="str">
        <x:v>published_reserves</x:v>
      </x:c>
      <x:c r="K156" s="41" t="str">
        <x:v>empty CSV field; never implicit zero</x:v>
      </x:c>
      <x:c r="L156" s="41" t="str">
        <x:v>data/observations_long.csv; metadata/raw_to_analytic.csv</x:v>
      </x:c>
    </x:row>
    <x:row r="157" ht="36" customHeight="1">
      <x:c r="A157" s="42" t="str">
        <x:v>bank_panel</x:v>
      </x:c>
      <x:c r="B157" s="42" t="str">
        <x:v>other_funds</x:v>
      </x:c>
      <x:c r="C157" s="42" t="str">
        <x:v>fondy</x:v>
      </x:c>
      <x:c r="D157" s="42" t="str">
        <x:v>Published other funds category, retained separately without imputation.</x:v>
      </x:c>
      <x:c r="E157" s="42" t="str">
        <x:v>number</x:v>
      </x:c>
      <x:c r="F157" s="42" t="str">
        <x:v>million_kc_nominal</x:v>
      </x:c>
      <x:c r="G157" s="42" t="str">
        <x:v>measure</x:v>
      </x:c>
      <x:c r="H157" s="42"/>
      <x:c r="I157" s="42" t="str">
        <x:v>fondy</x:v>
      </x:c>
      <x:c r="J157" s="42" t="str">
        <x:v>other_funds_source_fondy</x:v>
      </x:c>
      <x:c r="K157" s="42" t="str">
        <x:v>empty CSV field; never implicit zero</x:v>
      </x:c>
      <x:c r="L157" s="42" t="str">
        <x:v>data/observations_long.csv; metadata/raw_to_analytic.csv</x:v>
      </x:c>
    </x:row>
    <x:row r="158" ht="36" customHeight="1">
      <x:c r="A158" s="41" t="str">
        <x:v>bank_panel</x:v>
      </x:c>
      <x:c r="B158" s="41" t="str">
        <x:v>source_deposits</x:v>
      </x:c>
      <x:c r="C158" s="41" t="str">
        <x:v>vklady</x:v>
      </x:c>
      <x:c r="D158" s="41" t="str">
        <x:v>Source vklady; Legiobanka includes mortgage borrowing. Not harmonized to the League deposit category.</x:v>
      </x:c>
      <x:c r="E158" s="41" t="str">
        <x:v>number</x:v>
      </x:c>
      <x:c r="F158" s="41" t="str">
        <x:v>million_kc_nominal</x:v>
      </x:c>
      <x:c r="G158" s="41" t="str">
        <x:v>measure</x:v>
      </x:c>
      <x:c r="H158" s="41"/>
      <x:c r="I158" s="41" t="str">
        <x:v>vklady</x:v>
      </x:c>
      <x:c r="J158" s="41" t="str">
        <x:v>deposits_source_vklady</x:v>
      </x:c>
      <x:c r="K158" s="41" t="str">
        <x:v>empty CSV field; never implicit zero</x:v>
      </x:c>
      <x:c r="L158" s="41" t="str">
        <x:v>data/observations_long.csv; metadata/raw_to_analytic.csv</x:v>
      </x:c>
    </x:row>
    <x:row r="159" ht="36" customHeight="1">
      <x:c r="A159" s="42" t="str">
        <x:v>bank_panel</x:v>
      </x:c>
      <x:c r="B159" s="42" t="str">
        <x:v>general_creditors</x:v>
      </x:c>
      <x:c r="C159" s="42" t="str">
        <x:v>věřitelé</x:v>
      </x:c>
      <x:c r="D159" s="42" t="str">
        <x:v>Source věřitelé, general creditors. Not an interbank-only funding measure.</x:v>
      </x:c>
      <x:c r="E159" s="42" t="str">
        <x:v>number</x:v>
      </x:c>
      <x:c r="F159" s="42" t="str">
        <x:v>million_kc_nominal</x:v>
      </x:c>
      <x:c r="G159" s="42" t="str">
        <x:v>measure</x:v>
      </x:c>
      <x:c r="H159" s="42"/>
      <x:c r="I159" s="42" t="str">
        <x:v>věřitelé</x:v>
      </x:c>
      <x:c r="J159" s="42" t="str">
        <x:v>general_creditors_source_veritele</x:v>
      </x:c>
      <x:c r="K159" s="42" t="str">
        <x:v>empty CSV field; never implicit zero</x:v>
      </x:c>
      <x:c r="L159" s="42" t="str">
        <x:v>data/observations_long.csv; metadata/raw_to_analytic.csv</x:v>
      </x:c>
    </x:row>
    <x:row r="160" ht="36" customHeight="1">
      <x:c r="A160" s="41" t="str">
        <x:v>bank_panel</x:v>
      </x:c>
      <x:c r="B160" s="41" t="str">
        <x:v>other_liabilities</x:v>
      </x:c>
      <x:c r="C160" s="41" t="str">
        <x:v>různé (pasiva)</x:v>
      </x:c>
      <x:c r="D160" s="41" t="str">
        <x:v>Published other liabilities category, retained separately without imputation.</x:v>
      </x:c>
      <x:c r="E160" s="41" t="str">
        <x:v>number</x:v>
      </x:c>
      <x:c r="F160" s="41" t="str">
        <x:v>million_kc_nominal</x:v>
      </x:c>
      <x:c r="G160" s="41" t="str">
        <x:v>measure</x:v>
      </x:c>
      <x:c r="H160" s="41"/>
      <x:c r="I160" s="41" t="str">
        <x:v>různé (pasiva)</x:v>
      </x:c>
      <x:c r="J160" s="41" t="str">
        <x:v>other_liabilities_source_ruzne</x:v>
      </x:c>
      <x:c r="K160" s="41" t="str">
        <x:v>empty CSV field; never implicit zero</x:v>
      </x:c>
      <x:c r="L160" s="41" t="str">
        <x:v>data/observations_long.csv; metadata/raw_to_analytic.csv</x:v>
      </x:c>
    </x:row>
    <x:row r="161" ht="36" customHeight="1">
      <x:c r="A161" s="42" t="str">
        <x:v>bank_panel</x:v>
      </x:c>
      <x:c r="B161" s="42" t="str">
        <x:v>profit_carried_forward</x:v>
      </x:c>
      <x:c r="C161" s="42" t="str">
        <x:v>profit carried forward</x:v>
      </x:c>
      <x:c r="D161" s="42" t="str">
        <x:v>Published profit carried forward category, retained separately without imputation.</x:v>
      </x:c>
      <x:c r="E161" s="42" t="str">
        <x:v>number</x:v>
      </x:c>
      <x:c r="F161" s="42" t="str">
        <x:v>million_kc_nominal</x:v>
      </x:c>
      <x:c r="G161" s="42" t="str">
        <x:v>measure</x:v>
      </x:c>
      <x:c r="H161" s="42"/>
      <x:c r="I161" s="42" t="str">
        <x:v>profit carried forward</x:v>
      </x:c>
      <x:c r="J161" s="42" t="str">
        <x:v>profit_carried_forward</x:v>
      </x:c>
      <x:c r="K161" s="42" t="str">
        <x:v>empty CSV field; never implicit zero</x:v>
      </x:c>
      <x:c r="L161" s="42" t="str">
        <x:v>data/observations_long.csv; metadata/raw_to_analytic.csv</x:v>
      </x:c>
    </x:row>
    <x:row r="162" ht="36" customHeight="1">
      <x:c r="A162" s="41" t="str">
        <x:v>bank_panel</x:v>
      </x:c>
      <x:c r="B162" s="41" t="str">
        <x:v>reported_net_profit</x:v>
      </x:c>
      <x:c r="C162" s="41" t="str">
        <x:v>reported net profit</x:v>
      </x:c>
      <x:c r="D162" s="41" t="str">
        <x:v>Published reported net profit category, retained separately without imputation.</x:v>
      </x:c>
      <x:c r="E162" s="41" t="str">
        <x:v>number</x:v>
      </x:c>
      <x:c r="F162" s="41" t="str">
        <x:v>million_kc_nominal</x:v>
      </x:c>
      <x:c r="G162" s="41" t="str">
        <x:v>measure</x:v>
      </x:c>
      <x:c r="H162" s="41"/>
      <x:c r="I162" s="41" t="str">
        <x:v>reported net profit</x:v>
      </x:c>
      <x:c r="J162" s="41" t="str">
        <x:v>reported_net_profit</x:v>
      </x:c>
      <x:c r="K162" s="41" t="str">
        <x:v>empty CSV field; never implicit zero</x:v>
      </x:c>
      <x:c r="L162" s="41" t="str">
        <x:v>data/observations_long.csv; metadata/raw_to_analytic.csv</x:v>
      </x:c>
    </x:row>
    <x:row r="163" ht="36" customHeight="1">
      <x:c r="A163" s="42" t="str">
        <x:v>bank_panel</x:v>
      </x:c>
      <x:c r="B163" s="42" t="str">
        <x:v>net_interest</x:v>
      </x:c>
      <x:c r="C163" s="42" t="str">
        <x:v>úrokové saldo</x:v>
      </x:c>
      <x:c r="D163" s="42" t="str">
        <x:v>Published interest balance after interest costs; dividing by closing assets measures income intensity, not conventional net interest margin.</x:v>
      </x:c>
      <x:c r="E163" s="42" t="str">
        <x:v>number</x:v>
      </x:c>
      <x:c r="F163" s="42" t="str">
        <x:v>million_kc_nominal</x:v>
      </x:c>
      <x:c r="G163" s="42" t="str">
        <x:v>measure</x:v>
      </x:c>
      <x:c r="H163" s="42"/>
      <x:c r="I163" s="42" t="str">
        <x:v>úrokové saldo</x:v>
      </x:c>
      <x:c r="J163" s="42" t="str">
        <x:v>net_interest_source_urok_saldo</x:v>
      </x:c>
      <x:c r="K163" s="42" t="str">
        <x:v>empty CSV field; never implicit zero</x:v>
      </x:c>
      <x:c r="L163" s="42" t="str">
        <x:v>data/observations_long.csv; metadata/raw_to_analytic.csv</x:v>
      </x:c>
    </x:row>
    <x:row r="164" ht="36" customHeight="1">
      <x:c r="A164" s="41" t="str">
        <x:v>bank_panel</x:v>
      </x:c>
      <x:c r="B164" s="41" t="str">
        <x:v>commissions</x:v>
      </x:c>
      <x:c r="C164" s="41" t="str">
        <x:v>odměny</x:v>
      </x:c>
      <x:c r="D164" s="41" t="str">
        <x:v>Source odměny, fee/commission income; a yearly flow.</x:v>
      </x:c>
      <x:c r="E164" s="41" t="str">
        <x:v>number</x:v>
      </x:c>
      <x:c r="F164" s="41" t="str">
        <x:v>million_kc_nominal</x:v>
      </x:c>
      <x:c r="G164" s="41" t="str">
        <x:v>measure</x:v>
      </x:c>
      <x:c r="H164" s="41"/>
      <x:c r="I164" s="41" t="str">
        <x:v>odměny</x:v>
      </x:c>
      <x:c r="J164" s="41" t="str">
        <x:v>fees_source_odmeny</x:v>
      </x:c>
      <x:c r="K164" s="41" t="str">
        <x:v>empty CSV field; never implicit zero</x:v>
      </x:c>
      <x:c r="L164" s="41" t="str">
        <x:v>data/observations_long.csv; metadata/raw_to_analytic.csv</x:v>
      </x:c>
    </x:row>
    <x:row r="165" ht="36" customHeight="1">
      <x:c r="A165" s="42" t="str">
        <x:v>bank_panel</x:v>
      </x:c>
      <x:c r="B165" s="42" t="str">
        <x:v>other_income</x:v>
      </x:c>
      <x:c r="C165" s="42" t="str">
        <x:v>other income</x:v>
      </x:c>
      <x:c r="D165" s="42" t="str">
        <x:v>Published other income category, retained separately without imputation.</x:v>
      </x:c>
      <x:c r="E165" s="42" t="str">
        <x:v>number</x:v>
      </x:c>
      <x:c r="F165" s="42" t="str">
        <x:v>million_kc_nominal</x:v>
      </x:c>
      <x:c r="G165" s="42" t="str">
        <x:v>measure</x:v>
      </x:c>
      <x:c r="H165" s="42"/>
      <x:c r="I165" s="42" t="str">
        <x:v>other income</x:v>
      </x:c>
      <x:c r="J165" s="42" t="str">
        <x:v>other_income_source_ruzne_zisky</x:v>
      </x:c>
      <x:c r="K165" s="42" t="str">
        <x:v>empty CSV field; never implicit zero</x:v>
      </x:c>
      <x:c r="L165" s="42" t="str">
        <x:v>data/observations_long.csv; metadata/raw_to_analytic.csv</x:v>
      </x:c>
    </x:row>
    <x:row r="166" ht="36" customHeight="1">
      <x:c r="A166" s="41" t="str">
        <x:v>bank_panel</x:v>
      </x:c>
      <x:c r="B166" s="41" t="str">
        <x:v>overheads_nonstaff</x:v>
      </x:c>
      <x:c r="C166" s="41" t="str">
        <x:v>overheads nonstaff</x:v>
      </x:c>
      <x:c r="D166" s="41" t="str">
        <x:v>Published overheads nonstaff category, retained separately without imputation.</x:v>
      </x:c>
      <x:c r="E166" s="41" t="str">
        <x:v>number</x:v>
      </x:c>
      <x:c r="F166" s="41" t="str">
        <x:v>million_kc_nominal</x:v>
      </x:c>
      <x:c r="G166" s="41" t="str">
        <x:v>measure</x:v>
      </x:c>
      <x:c r="H166" s="41"/>
      <x:c r="I166" s="41" t="str">
        <x:v>overheads nonstaff</x:v>
      </x:c>
      <x:c r="J166" s="41" t="str">
        <x:v>overheads_nonstaff</x:v>
      </x:c>
      <x:c r="K166" s="41" t="str">
        <x:v>empty CSV field; never implicit zero</x:v>
      </x:c>
      <x:c r="L166" s="41" t="str">
        <x:v>data/observations_long.csv; metadata/raw_to_analytic.csv</x:v>
      </x:c>
    </x:row>
    <x:row r="167" ht="36" customHeight="1">
      <x:c r="A167" s="42" t="str">
        <x:v>bank_panel</x:v>
      </x:c>
      <x:c r="B167" s="42" t="str">
        <x:v>overheads_staff</x:v>
      </x:c>
      <x:c r="C167" s="42" t="str">
        <x:v>overheads staff</x:v>
      </x:c>
      <x:c r="D167" s="42" t="str">
        <x:v>Published overheads staff category, retained separately without imputation.</x:v>
      </x:c>
      <x:c r="E167" s="42" t="str">
        <x:v>number</x:v>
      </x:c>
      <x:c r="F167" s="42" t="str">
        <x:v>million_kc_nominal</x:v>
      </x:c>
      <x:c r="G167" s="42" t="str">
        <x:v>measure</x:v>
      </x:c>
      <x:c r="H167" s="42"/>
      <x:c r="I167" s="42" t="str">
        <x:v>overheads staff</x:v>
      </x:c>
      <x:c r="J167" s="42" t="str">
        <x:v>overheads_staff</x:v>
      </x:c>
      <x:c r="K167" s="42" t="str">
        <x:v>empty CSV field; never implicit zero</x:v>
      </x:c>
      <x:c r="L167" s="42" t="str">
        <x:v>data/observations_long.csv; metadata/raw_to_analytic.csv</x:v>
      </x:c>
    </x:row>
    <x:row r="168" ht="36" customHeight="1">
      <x:c r="A168" s="41" t="str">
        <x:v>bank_panel</x:v>
      </x:c>
      <x:c r="B168" s="41" t="str">
        <x:v>taxes</x:v>
      </x:c>
      <x:c r="C168" s="41" t="str">
        <x:v>taxes</x:v>
      </x:c>
      <x:c r="D168" s="41" t="str">
        <x:v>Published taxes category, retained separately without imputation.</x:v>
      </x:c>
      <x:c r="E168" s="41" t="str">
        <x:v>number</x:v>
      </x:c>
      <x:c r="F168" s="41" t="str">
        <x:v>million_kc_nominal</x:v>
      </x:c>
      <x:c r="G168" s="41" t="str">
        <x:v>measure</x:v>
      </x:c>
      <x:c r="H168" s="41"/>
      <x:c r="I168" s="41" t="str">
        <x:v>taxes</x:v>
      </x:c>
      <x:c r="J168" s="41" t="str">
        <x:v>taxes</x:v>
      </x:c>
      <x:c r="K168" s="41" t="str">
        <x:v>empty CSV field; never implicit zero</x:v>
      </x:c>
      <x:c r="L168" s="41" t="str">
        <x:v>data/observations_long.csv; metadata/raw_to_analytic.csv</x:v>
      </x:c>
    </x:row>
    <x:row r="169" ht="36" customHeight="1">
      <x:c r="A169" s="42" t="str">
        <x:v>bank_panel</x:v>
      </x:c>
      <x:c r="B169" s="42" t="str">
        <x:v>depreciation</x:v>
      </x:c>
      <x:c r="C169" s="42" t="str">
        <x:v>depreciation</x:v>
      </x:c>
      <x:c r="D169" s="42" t="str">
        <x:v>Published depreciation category, retained separately without imputation.</x:v>
      </x:c>
      <x:c r="E169" s="42" t="str">
        <x:v>number</x:v>
      </x:c>
      <x:c r="F169" s="42" t="str">
        <x:v>million_kc_nominal</x:v>
      </x:c>
      <x:c r="G169" s="42" t="str">
        <x:v>measure</x:v>
      </x:c>
      <x:c r="H169" s="42"/>
      <x:c r="I169" s="42" t="str">
        <x:v>depreciation</x:v>
      </x:c>
      <x:c r="J169" s="42" t="str">
        <x:v>depreciation</x:v>
      </x:c>
      <x:c r="K169" s="42" t="str">
        <x:v>empty CSV field; never implicit zero</x:v>
      </x:c>
      <x:c r="L169" s="42" t="str">
        <x:v>data/observations_long.csv; metadata/raw_to_analytic.csv</x:v>
      </x:c>
    </x:row>
    <x:row r="170" ht="36" customHeight="1">
      <x:c r="A170" s="41" t="str">
        <x:v>bank_panel</x:v>
      </x:c>
      <x:c r="B170" s="41" t="str">
        <x:v>other_losses</x:v>
      </x:c>
      <x:c r="C170" s="41" t="str">
        <x:v>other losses</x:v>
      </x:c>
      <x:c r="D170" s="41" t="str">
        <x:v>Published other losses category, retained separately without imputation.</x:v>
      </x:c>
      <x:c r="E170" s="41" t="str">
        <x:v>number</x:v>
      </x:c>
      <x:c r="F170" s="41" t="str">
        <x:v>million_kc_nominal</x:v>
      </x:c>
      <x:c r="G170" s="41" t="str">
        <x:v>measure</x:v>
      </x:c>
      <x:c r="H170" s="41"/>
      <x:c r="I170" s="41" t="str">
        <x:v>other losses</x:v>
      </x:c>
      <x:c r="J170" s="41" t="str">
        <x:v>other_losses</x:v>
      </x:c>
      <x:c r="K170" s="41" t="str">
        <x:v>empty CSV field; never implicit zero</x:v>
      </x:c>
      <x:c r="L170" s="41" t="str">
        <x:v>data/observations_long.csv; metadata/raw_to_analytic.csv</x:v>
      </x:c>
    </x:row>
    <x:row r="171" ht="36" customHeight="1">
      <x:c r="A171" s="42" t="str">
        <x:v>bank_panel</x:v>
      </x:c>
      <x:c r="B171" s="42" t="str">
        <x:v>issue_loans</x:v>
      </x:c>
      <x:c r="C171" s="42" t="str">
        <x:v>emisní půjčky</x:v>
      </x:c>
      <x:c r="D171" s="42" t="str">
        <x:v>Separately reported issue-related loans; not added twice to debtors.</x:v>
      </x:c>
      <x:c r="E171" s="42" t="str">
        <x:v>number</x:v>
      </x:c>
      <x:c r="F171" s="42" t="str">
        <x:v>million_kc_nominal</x:v>
      </x:c>
      <x:c r="G171" s="42" t="str">
        <x:v>measure</x:v>
      </x:c>
      <x:c r="H171" s="42"/>
      <x:c r="I171" s="42" t="str">
        <x:v>emisní půjčky</x:v>
      </x:c>
      <x:c r="J171" s="42" t="str">
        <x:v>issue_loans_source_emisni_pujcky</x:v>
      </x:c>
      <x:c r="K171" s="42" t="str">
        <x:v>empty CSV field; never implicit zero</x:v>
      </x:c>
      <x:c r="L171" s="42" t="str">
        <x:v>data/observations_long.csv; metadata/raw_to_analytic.csv</x:v>
      </x:c>
    </x:row>
    <x:row r="172" ht="36" customHeight="1">
      <x:c r="A172" s="41" t="str">
        <x:v>bank_panel</x:v>
      </x:c>
      <x:c r="B172" s="41" t="str">
        <x:v>bonds_issued</x:v>
      </x:c>
      <x:c r="C172" s="41" t="str">
        <x:v>dluhopisy</x:v>
      </x:c>
      <x:c r="D172" s="41" t="str">
        <x:v>Separately reported bond liabilities, not equity.</x:v>
      </x:c>
      <x:c r="E172" s="41" t="str">
        <x:v>number</x:v>
      </x:c>
      <x:c r="F172" s="41" t="str">
        <x:v>million_kc_nominal</x:v>
      </x:c>
      <x:c r="G172" s="41" t="str">
        <x:v>measure</x:v>
      </x:c>
      <x:c r="H172" s="41"/>
      <x:c r="I172" s="41" t="str">
        <x:v>dluhopisy</x:v>
      </x:c>
      <x:c r="J172" s="41" t="str">
        <x:v>bonds_source_dluhopisy</x:v>
      </x:c>
      <x:c r="K172" s="41" t="str">
        <x:v>empty CSV field; never implicit zero</x:v>
      </x:c>
      <x:c r="L172" s="41" t="str">
        <x:v>data/observations_long.csv; metadata/raw_to_analytic.csv</x:v>
      </x:c>
    </x:row>
    <x:row r="173" ht="36" customHeight="1">
      <x:c r="A173" s="42" t="str">
        <x:v>bank_panel</x:v>
      </x:c>
      <x:c r="B173" s="42" t="str">
        <x:v>stabilization_fund</x:v>
      </x:c>
      <x:c r="C173" s="42" t="str">
        <x:v>stabilisační fond</x:v>
      </x:c>
      <x:c r="D173" s="42" t="str">
        <x:v>Legiobanka's separate stabilization fund; not pooled with published reserves. Dashes after utilization remain missing markers.</x:v>
      </x:c>
      <x:c r="E173" s="42" t="str">
        <x:v>number</x:v>
      </x:c>
      <x:c r="F173" s="42" t="str">
        <x:v>million_kc_nominal</x:v>
      </x:c>
      <x:c r="G173" s="42" t="str">
        <x:v>measure</x:v>
      </x:c>
      <x:c r="H173" s="42"/>
      <x:c r="I173" s="42" t="str">
        <x:v>stabilisační fond</x:v>
      </x:c>
      <x:c r="J173" s="42" t="str">
        <x:v>stabilization_fund_source_stab_fond</x:v>
      </x:c>
      <x:c r="K173" s="42" t="str">
        <x:v>empty CSV field; never implicit zero</x:v>
      </x:c>
      <x:c r="L173" s="42" t="str">
        <x:v>data/observations_long.csv; metadata/raw_to_analytic.csv</x:v>
      </x:c>
    </x:row>
    <x:row r="174" ht="36" customHeight="1">
      <x:c r="A174" s="41" t="str">
        <x:v>bank_panel</x:v>
      </x:c>
      <x:c r="B174" s="41" t="str">
        <x:v>asset_pdf_page</x:v>
      </x:c>
      <x:c r="C174" s="41" t="str">
        <x:v>Asset pdf page</x:v>
      </x:c>
      <x:c r="D174" s="41" t="str">
        <x:v>Digital handbook page containing the asset table.</x:v>
      </x:c>
      <x:c r="E174" s="41" t="str">
        <x:v>integer</x:v>
      </x:c>
      <x:c r="F174" s="41"/>
      <x:c r="G174" s="41" t="str">
        <x:v>provenance_or_identifier</x:v>
      </x:c>
      <x:c r="H174" s="41"/>
      <x:c r="I174" s="41"/>
      <x:c r="J174" s="41"/>
      <x:c r="K174" s="41" t="str">
        <x:v>empty CSV field; never implicit zero</x:v>
      </x:c>
      <x:c r="L174" s="41" t="str">
        <x:v>data/observations_long.csv; metadata/raw_to_analytic.csv</x:v>
      </x:c>
    </x:row>
    <x:row r="175" ht="36" customHeight="1">
      <x:c r="A175" s="42" t="str">
        <x:v>bank_panel</x:v>
      </x:c>
      <x:c r="B175" s="42" t="str">
        <x:v>liability_pdf_page</x:v>
      </x:c>
      <x:c r="C175" s="42" t="str">
        <x:v>Liability pdf page</x:v>
      </x:c>
      <x:c r="D175" s="42" t="str">
        <x:v>Digital handbook page containing the liability table.</x:v>
      </x:c>
      <x:c r="E175" s="42" t="str">
        <x:v>integer</x:v>
      </x:c>
      <x:c r="F175" s="42"/>
      <x:c r="G175" s="42" t="str">
        <x:v>provenance_or_identifier</x:v>
      </x:c>
      <x:c r="H175" s="42"/>
      <x:c r="I175" s="42"/>
      <x:c r="J175" s="42"/>
      <x:c r="K175" s="42" t="str">
        <x:v>empty CSV field; never implicit zero</x:v>
      </x:c>
      <x:c r="L175" s="42" t="str">
        <x:v>data/observations_long.csv; metadata/raw_to_analytic.csv</x:v>
      </x:c>
    </x:row>
    <x:row r="176" ht="36" customHeight="1">
      <x:c r="A176" s="41" t="str">
        <x:v>bank_panel</x:v>
      </x:c>
      <x:c r="B176" s="41" t="str">
        <x:v>income_pdf_page</x:v>
      </x:c>
      <x:c r="C176" s="41" t="str">
        <x:v>Income pdf page</x:v>
      </x:c>
      <x:c r="D176" s="41" t="str">
        <x:v>Digital handbook page containing the income table.</x:v>
      </x:c>
      <x:c r="E176" s="41" t="str">
        <x:v>integer</x:v>
      </x:c>
      <x:c r="F176" s="41"/>
      <x:c r="G176" s="41" t="str">
        <x:v>provenance_or_identifier</x:v>
      </x:c>
      <x:c r="H176" s="41"/>
      <x:c r="I176" s="41"/>
      <x:c r="J176" s="41"/>
      <x:c r="K176" s="41" t="str">
        <x:v>empty CSV field; never implicit zero</x:v>
      </x:c>
      <x:c r="L176" s="41" t="str">
        <x:v>data/observations_long.csv; metadata/raw_to_analytic.csv</x:v>
      </x:c>
    </x:row>
    <x:row r="177" ht="36" customHeight="1">
      <x:c r="A177" s="42" t="str">
        <x:v>bank_panel</x:v>
      </x:c>
      <x:c r="B177" s="42" t="str">
        <x:v>source_id</x:v>
      </x:c>
      <x:c r="C177" s="42" t="str">
        <x:v>Source id</x:v>
      </x:c>
      <x:c r="D177" s="42" t="str">
        <x:v>Source identifier joining metadata/source_index.csv.</x:v>
      </x:c>
      <x:c r="E177" s="42" t="str">
        <x:v>string</x:v>
      </x:c>
      <x:c r="F177" s="42"/>
      <x:c r="G177" s="42" t="str">
        <x:v>provenance_or_identifier</x:v>
      </x:c>
      <x:c r="H177" s="42"/>
      <x:c r="I177" s="42"/>
      <x:c r="J177" s="42"/>
      <x:c r="K177" s="42" t="str">
        <x:v>empty CSV field; never implicit zero</x:v>
      </x:c>
      <x:c r="L177" s="42" t="str">
        <x:v>data/observations_long.csv; metadata/raw_to_analytic.csv</x:v>
      </x:c>
    </x:row>
    <x:row r="178" ht="36" customHeight="1">
      <x:c r="A178" s="41" t="str">
        <x:v>bank_panel</x:v>
      </x:c>
      <x:c r="B178" s="41" t="str">
        <x:v>source_url</x:v>
      </x:c>
      <x:c r="C178" s="41" t="str">
        <x:v>Source url</x:v>
      </x:c>
      <x:c r="D178" s="41" t="str">
        <x:v>Recorded public source URL, not a rebuild dependency or newly verified publication link.</x:v>
      </x:c>
      <x:c r="E178" s="41" t="str">
        <x:v>string</x:v>
      </x:c>
      <x:c r="F178" s="41"/>
      <x:c r="G178" s="41" t="str">
        <x:v>provenance_or_identifier</x:v>
      </x:c>
      <x:c r="H178" s="41"/>
      <x:c r="I178" s="41"/>
      <x:c r="J178" s="41"/>
      <x:c r="K178" s="41" t="str">
        <x:v>empty CSV field; never implicit zero</x:v>
      </x:c>
      <x:c r="L178" s="41" t="str">
        <x:v>data/observations_long.csv; metadata/raw_to_analytic.csv</x:v>
      </x:c>
    </x:row>
    <x:row r="179" ht="36" customHeight="1">
      <x:c r="A179" s="42" t="str">
        <x:v>bank_panel</x:v>
      </x:c>
      <x:c r="B179" s="42" t="str">
        <x:v>source_original_unit</x:v>
      </x:c>
      <x:c r="C179" s="42" t="str">
        <x:v>Source original unit</x:v>
      </x:c>
      <x:c r="D179" s="42" t="str">
        <x:v>Units printed in the source; Všeobecná družstevní is in thousands while release money values are millions.</x:v>
      </x:c>
      <x:c r="E179" s="42" t="str">
        <x:v>string</x:v>
      </x:c>
      <x:c r="F179" s="42"/>
      <x:c r="G179" s="42" t="str">
        <x:v>provenance_or_identifier</x:v>
      </x:c>
      <x:c r="H179" s="42"/>
      <x:c r="I179" s="42"/>
      <x:c r="J179" s="42"/>
      <x:c r="K179" s="42" t="str">
        <x:v>empty CSV field; never implicit zero</x:v>
      </x:c>
      <x:c r="L179" s="42" t="str">
        <x:v>data/observations_long.csv; metadata/raw_to_analytic.csv</x:v>
      </x:c>
    </x:row>
    <x:row r="180" ht="36" customHeight="1">
      <x:c r="A180" s="41" t="str">
        <x:v>bank_panel</x:v>
      </x:c>
      <x:c r="B180" s="41" t="str">
        <x:v>source_edition</x:v>
      </x:c>
      <x:c r="C180" s="41" t="str">
        <x:v>Source edition</x:v>
      </x:c>
      <x:c r="D180" s="41" t="str">
        <x:v>Consulted digital/source edition; does not certify an original annual-report facsimile.</x:v>
      </x:c>
      <x:c r="E180" s="41" t="str">
        <x:v>string</x:v>
      </x:c>
      <x:c r="F180" s="41"/>
      <x:c r="G180" s="41" t="str">
        <x:v>provenance_or_identifier</x:v>
      </x:c>
      <x:c r="H180" s="41"/>
      <x:c r="I180" s="41"/>
      <x:c r="J180" s="41"/>
      <x:c r="K180" s="41" t="str">
        <x:v>empty CSV field; never implicit zero</x:v>
      </x:c>
      <x:c r="L180" s="41" t="str">
        <x:v>data/observations_long.csv; metadata/raw_to_analytic.csv</x:v>
      </x:c>
    </x:row>
    <x:row r="181" ht="36" customHeight="1">
      <x:c r="A181" s="42" t="str">
        <x:v>bank_panel</x:v>
      </x:c>
      <x:c r="B181" s="42" t="str">
        <x:v>original_annual_report_verified</x:v>
      </x:c>
      <x:c r="C181" s="42" t="str">
        <x:v>Original annual report verified</x:v>
      </x:c>
      <x:c r="D181" s="42" t="str">
        <x:v>False: original bank annual-report facsimiles were not independently checked; the consulted handbook edition was checked.</x:v>
      </x:c>
      <x:c r="E181" s="42" t="str">
        <x:v>boolean</x:v>
      </x:c>
      <x:c r="F181" s="42"/>
      <x:c r="G181" s="42" t="str">
        <x:v>provenance_or_identifier</x:v>
      </x:c>
      <x:c r="H181" s="42"/>
      <x:c r="I181" s="42"/>
      <x:c r="J181" s="42"/>
      <x:c r="K181" s="42" t="str">
        <x:v>empty CSV field; never implicit zero</x:v>
      </x:c>
      <x:c r="L181" s="42" t="str">
        <x:v>data/observations_long.csv; metadata/raw_to_analytic.csv</x:v>
      </x:c>
    </x:row>
    <x:row r="182" ht="50" customHeight="1">
      <x:c r="A182" s="41" t="str">
        <x:v>bank_panel</x:v>
      </x:c>
      <x:c r="B182" s="41" t="str">
        <x:v>asset_component_residual</x:v>
      </x:c>
      <x:c r="C182" s="41" t="str">
        <x:v>Asset component residual</x:v>
      </x:c>
      <x:c r="D182" s="41" t="str">
        <x:v>Calculated sum of reported asset components minus published total; explicit dashes add no reported amount for this audit only. Not an imputed balance-sheet component.</x:v>
      </x:c>
      <x:c r="E182" s="41" t="str">
        <x:v>number</x:v>
      </x:c>
      <x:c r="F182" s="41" t="str">
        <x:v>million_kc_nominal</x:v>
      </x:c>
      <x:c r="G182" s="41" t="str">
        <x:v>measure</x:v>
      </x:c>
      <x:c r="H182" s="41"/>
      <x:c r="I182" s="41"/>
      <x:c r="J182" s="41"/>
      <x:c r="K182" s="41" t="str">
        <x:v>empty CSV field; never implicit zero</x:v>
      </x:c>
      <x:c r="L182" s="41" t="str">
        <x:v>data/observations_long.csv; metadata/raw_to_analytic.csv</x:v>
      </x:c>
    </x:row>
    <x:row r="183" ht="36" customHeight="1">
      <x:c r="A183" s="42" t="str">
        <x:v>bank_panel</x:v>
      </x:c>
      <x:c r="B183" s="42" t="str">
        <x:v>category_notes</x:v>
      </x:c>
      <x:c r="C183" s="42" t="str">
        <x:v>Category notes</x:v>
      </x:c>
      <x:c r="D183" s="42" t="str">
        <x:v>Bank-specific category qualifications retained from the accepted transcription.</x:v>
      </x:c>
      <x:c r="E183" s="42" t="str">
        <x:v>string</x:v>
      </x:c>
      <x:c r="F183" s="42"/>
      <x:c r="G183" s="42" t="str">
        <x:v>provenance_or_identifier</x:v>
      </x:c>
      <x:c r="H183" s="42"/>
      <x:c r="I183" s="42"/>
      <x:c r="J183" s="42"/>
      <x:c r="K183" s="42" t="str">
        <x:v>empty CSV field; never implicit zero</x:v>
      </x:c>
      <x:c r="L183" s="42" t="str">
        <x:v>data/observations_long.csv; metadata/raw_to_analytic.csv</x:v>
      </x:c>
    </x:row>
    <x:row r="184" ht="36" customHeight="1">
      <x:c r="A184" s="41" t="str">
        <x:v>bank_panel</x:v>
      </x:c>
      <x:c r="B184" s="41" t="str">
        <x:v>flags</x:v>
      </x:c>
      <x:c r="C184" s="41" t="str">
        <x:v>Flags</x:v>
      </x:c>
      <x:c r="D184" s="41" t="str">
        <x:v>Semicolon-separated source or comparability exception codes; empty means no listed exception, not an assurance of universal comparability.</x:v>
      </x:c>
      <x:c r="E184" s="41" t="str">
        <x:v>string</x:v>
      </x:c>
      <x:c r="F184" s="41"/>
      <x:c r="G184" s="41" t="str">
        <x:v>provenance_or_identifier</x:v>
      </x:c>
      <x:c r="H184" s="41"/>
      <x:c r="I184" s="41"/>
      <x:c r="J184" s="41"/>
      <x:c r="K184" s="41" t="str">
        <x:v>empty CSV field; never implicit zero</x:v>
      </x:c>
      <x:c r="L184" s="41" t="str">
        <x:v>data/observations_long.csv; metadata/raw_to_analytic.csv</x:v>
      </x:c>
    </x:row>
    <x:row r="185" ht="36" customHeight="1">
      <x:c r="A185" s="42" t="str">
        <x:v>annual_ratios</x:v>
      </x:c>
      <x:c r="B185" s="42" t="str">
        <x:v>year</x:v>
      </x:c>
      <x:c r="C185" s="42" t="str">
        <x:v>Year</x:v>
      </x:c>
      <x:c r="D185" s="42" t="str">
        <x:v>Calendar year of the observation; balance-sheet stocks are year-end unless a source-date field says otherwise.</x:v>
      </x:c>
      <x:c r="E185" s="42" t="str">
        <x:v>integer</x:v>
      </x:c>
      <x:c r="F185" s="42"/>
      <x:c r="G185" s="42" t="str">
        <x:v>provenance_or_identifier</x:v>
      </x:c>
      <x:c r="H185" s="42"/>
      <x:c r="I185" s="42"/>
      <x:c r="J185" s="42"/>
      <x:c r="K185" s="42" t="str">
        <x:v>empty CSV field; never implicit zero</x:v>
      </x:c>
      <x:c r="L185" s="42" t="str">
        <x:v>data/observations_long.csv; metadata/raw_to_analytic.csv</x:v>
      </x:c>
    </x:row>
    <x:row r="186" ht="36" customHeight="1">
      <x:c r="A186" s="41" t="str">
        <x:v>annual_ratios</x:v>
      </x:c>
      <x:c r="B186" s="41" t="str">
        <x:v>population_id</x:v>
      </x:c>
      <x:c r="C186" s="41" t="str">
        <x:v>Population id</x:v>
      </x:c>
      <x:c r="D186" s="41" t="str">
        <x:v>Join key to metadata/population_definitions.csv; populations must not be pooled or added without a defined bridge.</x:v>
      </x:c>
      <x:c r="E186" s="41" t="str">
        <x:v>string</x:v>
      </x:c>
      <x:c r="F186" s="41"/>
      <x:c r="G186" s="41" t="str">
        <x:v>provenance_or_identifier</x:v>
      </x:c>
      <x:c r="H186" s="41"/>
      <x:c r="I186" s="41"/>
      <x:c r="J186" s="41"/>
      <x:c r="K186" s="41" t="str">
        <x:v>empty CSV field; never implicit zero</x:v>
      </x:c>
      <x:c r="L186" s="41" t="str">
        <x:v>data/observations_long.csv; metadata/raw_to_analytic.csv</x:v>
      </x:c>
    </x:row>
    <x:row r="187" ht="50" customHeight="1">
      <x:c r="A187" s="42" t="str">
        <x:v>annual_ratios</x:v>
      </x:c>
      <x:c r="B187" s="42" t="str">
        <x:v>capital_assets_pct</x:v>
      </x:c>
      <x:c r="C187" s="42" t="str">
        <x:v>Capital assets pct</x:v>
      </x:c>
      <x:c r="D187" s="42" t="str">
        <x:v>100 * capital_and_reserves / total_assets; closing-year denominator; suppress known population or category mismatch. Income ratios are intensities, not conventional net interest margins.</x:v>
      </x:c>
      <x:c r="E187" s="42" t="str">
        <x:v>number</x:v>
      </x:c>
      <x:c r="F187" s="42" t="str">
        <x:v>percent</x:v>
      </x:c>
      <x:c r="G187" s="42" t="str">
        <x:v>measure</x:v>
      </x:c>
      <x:c r="H187" s="42" t="str">
        <x:v>100 * capital_and_reserves / total_assets; closing-year denominator; suppress known population or category mismatch</x:v>
      </x:c>
      <x:c r="I187" s="42"/>
      <x:c r="J187" s="42"/>
      <x:c r="K187" s="42" t="str">
        <x:v>empty CSV field; never implicit zero</x:v>
      </x:c>
      <x:c r="L187" s="42" t="str">
        <x:v>data/observations_long.csv; metadata/raw_to_analytic.csv</x:v>
      </x:c>
    </x:row>
    <x:row r="188" ht="50" customHeight="1">
      <x:c r="A188" s="41" t="str">
        <x:v>annual_ratios</x:v>
      </x:c>
      <x:c r="B188" s="41" t="str">
        <x:v>loans_bills_assets_pct</x:v>
      </x:c>
      <x:c r="C188" s="41" t="str">
        <x:v>Loans bills assets pct</x:v>
      </x:c>
      <x:c r="D188" s="41" t="str">
        <x:v>100 * loans_and_bills / total_assets; closing-year denominator; suppress known population or category mismatch. Income ratios are intensities, not conventional net interest margins.</x:v>
      </x:c>
      <x:c r="E188" s="41" t="str">
        <x:v>number</x:v>
      </x:c>
      <x:c r="F188" s="41" t="str">
        <x:v>percent</x:v>
      </x:c>
      <x:c r="G188" s="41" t="str">
        <x:v>measure</x:v>
      </x:c>
      <x:c r="H188" s="41" t="str">
        <x:v>100 * loans_and_bills / total_assets; closing-year denominator; suppress known population or category mismatch</x:v>
      </x:c>
      <x:c r="I188" s="41"/>
      <x:c r="J188" s="41"/>
      <x:c r="K188" s="41" t="str">
        <x:v>empty CSV field; never implicit zero</x:v>
      </x:c>
      <x:c r="L188" s="41" t="str">
        <x:v>data/observations_long.csv; metadata/raw_to_analytic.csv</x:v>
      </x:c>
    </x:row>
    <x:row r="189" ht="50" customHeight="1">
      <x:c r="A189" s="42" t="str">
        <x:v>annual_ratios</x:v>
      </x:c>
      <x:c r="B189" s="42" t="str">
        <x:v>extended_credit_assets_pct</x:v>
      </x:c>
      <x:c r="C189" s="42" t="str">
        <x:v>Extended credit assets pct</x:v>
      </x:c>
      <x:c r="D189" s="42" t="str">
        <x:v>100 * extended_credit / total_assets; closing-year denominator; suppress known population or category mismatch. Income ratios are intensities, not conventional net interest margins.</x:v>
      </x:c>
      <x:c r="E189" s="42" t="str">
        <x:v>number</x:v>
      </x:c>
      <x:c r="F189" s="42" t="str">
        <x:v>percent</x:v>
      </x:c>
      <x:c r="G189" s="42" t="str">
        <x:v>measure</x:v>
      </x:c>
      <x:c r="H189" s="42" t="str">
        <x:v>100 * extended_credit / total_assets; closing-year denominator; suppress known population or category mismatch</x:v>
      </x:c>
      <x:c r="I189" s="42"/>
      <x:c r="J189" s="42"/>
      <x:c r="K189" s="42" t="str">
        <x:v>empty CSV field; never implicit zero</x:v>
      </x:c>
      <x:c r="L189" s="42" t="str">
        <x:v>data/observations_long.csv; metadata/raw_to_analytic.csv</x:v>
      </x:c>
    </x:row>
    <x:row r="190" ht="50" customHeight="1">
      <x:c r="A190" s="41" t="str">
        <x:v>annual_ratios</x:v>
      </x:c>
      <x:c r="B190" s="41" t="str">
        <x:v>cash_assets_pct</x:v>
      </x:c>
      <x:c r="C190" s="41" t="str">
        <x:v>Cash assets pct</x:v>
      </x:c>
      <x:c r="D190" s="41" t="str">
        <x:v>100 * broad_cash / total_assets; closing-year denominator; suppress known population or category mismatch. Income ratios are intensities, not conventional net interest margins.</x:v>
      </x:c>
      <x:c r="E190" s="41" t="str">
        <x:v>number</x:v>
      </x:c>
      <x:c r="F190" s="41" t="str">
        <x:v>percent</x:v>
      </x:c>
      <x:c r="G190" s="41" t="str">
        <x:v>measure</x:v>
      </x:c>
      <x:c r="H190" s="41" t="str">
        <x:v>100 * broad_cash / total_assets; closing-year denominator; suppress known population or category mismatch</x:v>
      </x:c>
      <x:c r="I190" s="41"/>
      <x:c r="J190" s="41"/>
      <x:c r="K190" s="41" t="str">
        <x:v>empty CSV field; never implicit zero</x:v>
      </x:c>
      <x:c r="L190" s="41" t="str">
        <x:v>data/observations_long.csv; metadata/raw_to_analytic.csv</x:v>
      </x:c>
    </x:row>
    <x:row r="191" ht="50" customHeight="1">
      <x:c r="A191" s="42" t="str">
        <x:v>annual_ratios</x:v>
      </x:c>
      <x:c r="B191" s="42" t="str">
        <x:v>securities_assets_pct</x:v>
      </x:c>
      <x:c r="C191" s="42" t="str">
        <x:v>Securities assets pct</x:v>
      </x:c>
      <x:c r="D191" s="42" t="str">
        <x:v>100 * securities / total_assets; closing-year denominator; suppress known population or category mismatch. Income ratios are intensities, not conventional net interest margins.</x:v>
      </x:c>
      <x:c r="E191" s="42" t="str">
        <x:v>number</x:v>
      </x:c>
      <x:c r="F191" s="42" t="str">
        <x:v>percent</x:v>
      </x:c>
      <x:c r="G191" s="42" t="str">
        <x:v>measure</x:v>
      </x:c>
      <x:c r="H191" s="42" t="str">
        <x:v>100 * securities / total_assets; closing-year denominator; suppress known population or category mismatch</x:v>
      </x:c>
      <x:c r="I191" s="42"/>
      <x:c r="J191" s="42"/>
      <x:c r="K191" s="42" t="str">
        <x:v>empty CSV field; never implicit zero</x:v>
      </x:c>
      <x:c r="L191" s="42" t="str">
        <x:v>data/observations_long.csv; metadata/raw_to_analytic.csv</x:v>
      </x:c>
    </x:row>
    <x:row r="192" ht="50" customHeight="1">
      <x:c r="A192" s="41" t="str">
        <x:v>annual_ratios</x:v>
      </x:c>
      <x:c r="B192" s="41" t="str">
        <x:v>participations_assets_pct</x:v>
      </x:c>
      <x:c r="C192" s="41" t="str">
        <x:v>Participations assets pct</x:v>
      </x:c>
      <x:c r="D192" s="41" t="str">
        <x:v>100 * participations / total_assets; closing-year denominator; suppress known population or category mismatch. Income ratios are intensities, not conventional net interest margins.</x:v>
      </x:c>
      <x:c r="E192" s="41" t="str">
        <x:v>number</x:v>
      </x:c>
      <x:c r="F192" s="41" t="str">
        <x:v>percent</x:v>
      </x:c>
      <x:c r="G192" s="41" t="str">
        <x:v>measure</x:v>
      </x:c>
      <x:c r="H192" s="41" t="str">
        <x:v>100 * participations / total_assets; closing-year denominator; suppress known population or category mismatch</x:v>
      </x:c>
      <x:c r="I192" s="41"/>
      <x:c r="J192" s="41"/>
      <x:c r="K192" s="41" t="str">
        <x:v>empty CSV field; never implicit zero</x:v>
      </x:c>
      <x:c r="L192" s="41" t="str">
        <x:v>data/observations_long.csv; metadata/raw_to_analytic.csv</x:v>
      </x:c>
    </x:row>
    <x:row r="193" ht="50" customHeight="1">
      <x:c r="A193" s="42" t="str">
        <x:v>annual_ratios</x:v>
      </x:c>
      <x:c r="B193" s="42" t="str">
        <x:v>deposits_assets_pct</x:v>
      </x:c>
      <x:c r="C193" s="42" t="str">
        <x:v>Deposits assets pct</x:v>
      </x:c>
      <x:c r="D193" s="42" t="str">
        <x:v>100 * total_deposits / total_assets; closing-year denominator; suppress known population or category mismatch. Income ratios are intensities, not conventional net interest margins.</x:v>
      </x:c>
      <x:c r="E193" s="42" t="str">
        <x:v>number</x:v>
      </x:c>
      <x:c r="F193" s="42" t="str">
        <x:v>percent</x:v>
      </x:c>
      <x:c r="G193" s="42" t="str">
        <x:v>measure</x:v>
      </x:c>
      <x:c r="H193" s="42" t="str">
        <x:v>100 * total_deposits / total_assets; closing-year denominator; suppress known population or category mismatch</x:v>
      </x:c>
      <x:c r="I193" s="42"/>
      <x:c r="J193" s="42"/>
      <x:c r="K193" s="42" t="str">
        <x:v>empty CSV field; never implicit zero</x:v>
      </x:c>
      <x:c r="L193" s="42" t="str">
        <x:v>data/observations_long.csv; metadata/raw_to_analytic.csv</x:v>
      </x:c>
    </x:row>
    <x:row r="194" ht="50" customHeight="1">
      <x:c r="A194" s="41" t="str">
        <x:v>annual_ratios</x:v>
      </x:c>
      <x:c r="B194" s="41" t="str">
        <x:v>bank_creditors_assets_pct</x:v>
      </x:c>
      <x:c r="C194" s="41" t="str">
        <x:v>Bank creditors assets pct</x:v>
      </x:c>
      <x:c r="D194" s="41" t="str">
        <x:v>100 * due_to_banks / total_assets; closing-year denominator; suppress known population or category mismatch. Income ratios are intensities, not conventional net interest margins.</x:v>
      </x:c>
      <x:c r="E194" s="41" t="str">
        <x:v>number</x:v>
      </x:c>
      <x:c r="F194" s="41" t="str">
        <x:v>percent</x:v>
      </x:c>
      <x:c r="G194" s="41" t="str">
        <x:v>measure</x:v>
      </x:c>
      <x:c r="H194" s="41" t="str">
        <x:v>100 * due_to_banks / total_assets; closing-year denominator; suppress known population or category mismatch</x:v>
      </x:c>
      <x:c r="I194" s="41"/>
      <x:c r="J194" s="41"/>
      <x:c r="K194" s="41" t="str">
        <x:v>empty CSV field; never implicit zero</x:v>
      </x:c>
      <x:c r="L194" s="41" t="str">
        <x:v>data/observations_long.csv; metadata/raw_to_analytic.csv</x:v>
      </x:c>
    </x:row>
    <x:row r="195" ht="50" customHeight="1">
      <x:c r="A195" s="42" t="str">
        <x:v>annual_ratios</x:v>
      </x:c>
      <x:c r="B195" s="42" t="str">
        <x:v>loans_bills_deposits_pct</x:v>
      </x:c>
      <x:c r="C195" s="42" t="str">
        <x:v>Loans bills deposits pct</x:v>
      </x:c>
      <x:c r="D195" s="42" t="str">
        <x:v>100 * loans_and_bills / total_deposits; closing-year denominator; suppress known population or category mismatch. Income ratios are intensities, not conventional net interest margins.</x:v>
      </x:c>
      <x:c r="E195" s="42" t="str">
        <x:v>number</x:v>
      </x:c>
      <x:c r="F195" s="42" t="str">
        <x:v>percent</x:v>
      </x:c>
      <x:c r="G195" s="42" t="str">
        <x:v>measure</x:v>
      </x:c>
      <x:c r="H195" s="42" t="str">
        <x:v>100 * loans_and_bills / total_deposits; closing-year denominator; suppress known population or category mismatch</x:v>
      </x:c>
      <x:c r="I195" s="42"/>
      <x:c r="J195" s="42"/>
      <x:c r="K195" s="42" t="str">
        <x:v>empty CSV field; never implicit zero</x:v>
      </x:c>
      <x:c r="L195" s="42" t="str">
        <x:v>data/observations_long.csv; metadata/raw_to_analytic.csv</x:v>
      </x:c>
    </x:row>
    <x:row r="196" ht="50" customHeight="1">
      <x:c r="A196" s="41" t="str">
        <x:v>annual_ratios</x:v>
      </x:c>
      <x:c r="B196" s="41" t="str">
        <x:v>net_interest_assets_pct</x:v>
      </x:c>
      <x:c r="C196" s="41" t="str">
        <x:v>Net interest assets pct</x:v>
      </x:c>
      <x:c r="D196" s="41" t="str">
        <x:v>100 * net_interest / total_assets; closing-year denominator; suppress known population or category mismatch. Income ratios are intensities, not conventional net interest margins.</x:v>
      </x:c>
      <x:c r="E196" s="41" t="str">
        <x:v>number</x:v>
      </x:c>
      <x:c r="F196" s="41" t="str">
        <x:v>percent</x:v>
      </x:c>
      <x:c r="G196" s="41" t="str">
        <x:v>measure</x:v>
      </x:c>
      <x:c r="H196" s="41" t="str">
        <x:v>100 * net_interest / total_assets; closing-year denominator; suppress known population or category mismatch</x:v>
      </x:c>
      <x:c r="I196" s="41"/>
      <x:c r="J196" s="41"/>
      <x:c r="K196" s="41" t="str">
        <x:v>empty CSV field; never implicit zero</x:v>
      </x:c>
      <x:c r="L196" s="41" t="str">
        <x:v>data/observations_long.csv; metadata/raw_to_analytic.csv</x:v>
      </x:c>
    </x:row>
    <x:row r="197" ht="50" customHeight="1">
      <x:c r="A197" s="42" t="str">
        <x:v>annual_ratios</x:v>
      </x:c>
      <x:c r="B197" s="42" t="str">
        <x:v>commissions_assets_pct</x:v>
      </x:c>
      <x:c r="C197" s="42" t="str">
        <x:v>Commissions assets pct</x:v>
      </x:c>
      <x:c r="D197" s="42" t="str">
        <x:v>100 * commissions / total_assets; closing-year denominator; suppress known population or category mismatch. Income ratios are intensities, not conventional net interest margins.</x:v>
      </x:c>
      <x:c r="E197" s="42" t="str">
        <x:v>number</x:v>
      </x:c>
      <x:c r="F197" s="42" t="str">
        <x:v>percent</x:v>
      </x:c>
      <x:c r="G197" s="42" t="str">
        <x:v>measure</x:v>
      </x:c>
      <x:c r="H197" s="42" t="str">
        <x:v>100 * commissions / total_assets; closing-year denominator; suppress known population or category mismatch</x:v>
      </x:c>
      <x:c r="I197" s="42"/>
      <x:c r="J197" s="42"/>
      <x:c r="K197" s="42" t="str">
        <x:v>empty CSV field; never implicit zero</x:v>
      </x:c>
      <x:c r="L197" s="42" t="str">
        <x:v>data/observations_long.csv; metadata/raw_to_analytic.csv</x:v>
      </x:c>
    </x:row>
    <x:row r="198" ht="50" customHeight="1">
      <x:c r="A198" s="41" t="str">
        <x:v>annual_ratios</x:v>
      </x:c>
      <x:c r="B198" s="41" t="str">
        <x:v>net_profit_assets_pct</x:v>
      </x:c>
      <x:c r="C198" s="41" t="str">
        <x:v>Net profit assets pct</x:v>
      </x:c>
      <x:c r="D198" s="41" t="str">
        <x:v>100 * net_profit_loss / total_assets; closing-year denominator; suppress known population or category mismatch. Income ratios are intensities, not conventional net interest margins.</x:v>
      </x:c>
      <x:c r="E198" s="41" t="str">
        <x:v>number</x:v>
      </x:c>
      <x:c r="F198" s="41" t="str">
        <x:v>percent</x:v>
      </x:c>
      <x:c r="G198" s="41" t="str">
        <x:v>measure</x:v>
      </x:c>
      <x:c r="H198" s="41" t="str">
        <x:v>100 * net_profit_loss / total_assets; closing-year denominator; suppress known population or category mismatch</x:v>
      </x:c>
      <x:c r="I198" s="41"/>
      <x:c r="J198" s="41"/>
      <x:c r="K198" s="41" t="str">
        <x:v>empty CSV field; never implicit zero</x:v>
      </x:c>
      <x:c r="L198" s="41" t="str">
        <x:v>data/observations_long.csv; metadata/raw_to_analytic.csv</x:v>
      </x:c>
    </x:row>
    <x:row r="199" ht="36" customHeight="1">
      <x:c r="A199" s="42" t="str">
        <x:v>annual_ratios</x:v>
      </x:c>
      <x:c r="B199" s="42" t="str">
        <x:v>assets_index_1930_100</x:v>
      </x:c>
      <x:c r="C199" s="42" t="str">
        <x:v>Assets index 1930 100</x:v>
      </x:c>
      <x:c r="D199" s="42" t="str">
        <x:v>100 * total_assets[year] / total_assets[1930]</x:v>
      </x:c>
      <x:c r="E199" s="42" t="str">
        <x:v>number</x:v>
      </x:c>
      <x:c r="F199" s="42" t="str">
        <x:v>index_1930_100</x:v>
      </x:c>
      <x:c r="G199" s="42" t="str">
        <x:v>measure</x:v>
      </x:c>
      <x:c r="H199" s="42" t="str">
        <x:v>100 * total_assets[year] / total_assets[1930]</x:v>
      </x:c>
      <x:c r="I199" s="42"/>
      <x:c r="J199" s="42"/>
      <x:c r="K199" s="42" t="str">
        <x:v>empty CSV field; never implicit zero</x:v>
      </x:c>
      <x:c r="L199" s="42" t="str">
        <x:v>data/observations_long.csv; metadata/raw_to_analytic.csv</x:v>
      </x:c>
    </x:row>
    <x:row r="200" ht="36" customHeight="1">
      <x:c r="A200" s="41" t="str">
        <x:v>annual_ratios</x:v>
      </x:c>
      <x:c r="B200" s="41" t="str">
        <x:v>loans_bills_index_1930_100</x:v>
      </x:c>
      <x:c r="C200" s="41" t="str">
        <x:v>Loans bills index 1930 100</x:v>
      </x:c>
      <x:c r="D200" s="41" t="str">
        <x:v>100 * loans_and_bills[year] / loans_and_bills[1930]</x:v>
      </x:c>
      <x:c r="E200" s="41" t="str">
        <x:v>number</x:v>
      </x:c>
      <x:c r="F200" s="41" t="str">
        <x:v>index_1930_100</x:v>
      </x:c>
      <x:c r="G200" s="41" t="str">
        <x:v>measure</x:v>
      </x:c>
      <x:c r="H200" s="41" t="str">
        <x:v>100 * loans_and_bills[year] / loans_and_bills[1930]</x:v>
      </x:c>
      <x:c r="I200" s="41"/>
      <x:c r="J200" s="41"/>
      <x:c r="K200" s="41" t="str">
        <x:v>empty CSV field; never implicit zero</x:v>
      </x:c>
      <x:c r="L200" s="41" t="str">
        <x:v>data/observations_long.csv; metadata/raw_to_analytic.csv</x:v>
      </x:c>
    </x:row>
    <x:row r="201" ht="36" customHeight="1">
      <x:c r="A201" s="42" t="str">
        <x:v>annual_ratios</x:v>
      </x:c>
      <x:c r="B201" s="42" t="str">
        <x:v>deposits_index_1930_100</x:v>
      </x:c>
      <x:c r="C201" s="42" t="str">
        <x:v>Deposits index 1930 100</x:v>
      </x:c>
      <x:c r="D201" s="42" t="str">
        <x:v>100 * total_deposits[year] / total_deposits[1930]</x:v>
      </x:c>
      <x:c r="E201" s="42" t="str">
        <x:v>number</x:v>
      </x:c>
      <x:c r="F201" s="42" t="str">
        <x:v>index_1930_100</x:v>
      </x:c>
      <x:c r="G201" s="42" t="str">
        <x:v>measure</x:v>
      </x:c>
      <x:c r="H201" s="42" t="str">
        <x:v>100 * total_deposits[year] / total_deposits[1930]</x:v>
      </x:c>
      <x:c r="I201" s="42"/>
      <x:c r="J201" s="42"/>
      <x:c r="K201" s="42" t="str">
        <x:v>empty CSV field; never implicit zero</x:v>
      </x:c>
      <x:c r="L201" s="42" t="str">
        <x:v>data/observations_long.csv; metadata/raw_to_analytic.csv</x:v>
      </x:c>
    </x:row>
    <x:row r="202" ht="36" customHeight="1">
      <x:c r="A202" s="41" t="str">
        <x:v>annual_ratios</x:v>
      </x:c>
      <x:c r="B202" s="41" t="str">
        <x:v>capital_reserves_index_1930_100</x:v>
      </x:c>
      <x:c r="C202" s="41" t="str">
        <x:v>Capital reserves index 1930 100</x:v>
      </x:c>
      <x:c r="D202" s="41" t="str">
        <x:v>100 * capital_and_reserves[year] / capital_and_reserves[1930]</x:v>
      </x:c>
      <x:c r="E202" s="41" t="str">
        <x:v>number</x:v>
      </x:c>
      <x:c r="F202" s="41" t="str">
        <x:v>index_1930_100</x:v>
      </x:c>
      <x:c r="G202" s="41" t="str">
        <x:v>measure</x:v>
      </x:c>
      <x:c r="H202" s="41" t="str">
        <x:v>100 * capital_and_reserves[year] / capital_and_reserves[1930]</x:v>
      </x:c>
      <x:c r="I202" s="41"/>
      <x:c r="J202" s="41"/>
      <x:c r="K202" s="41" t="str">
        <x:v>empty CSV field; never implicit zero</x:v>
      </x:c>
      <x:c r="L202" s="41" t="str">
        <x:v>data/observations_long.csv; metadata/raw_to_analytic.csv</x:v>
      </x:c>
    </x:row>
    <x:row r="203" ht="36" customHeight="1">
      <x:c r="A203" s="42" t="str">
        <x:v>annual_ratios</x:v>
      </x:c>
      <x:c r="B203" s="42" t="str">
        <x:v>assets_growth_pct</x:v>
      </x:c>
      <x:c r="C203" s="42" t="str">
        <x:v>Assets growth pct</x:v>
      </x:c>
      <x:c r="D203" s="42" t="str">
        <x:v>100 * (total_assets[year] / total_assets[year-1] - 1); changing annual population</x:v>
      </x:c>
      <x:c r="E203" s="42" t="str">
        <x:v>number</x:v>
      </x:c>
      <x:c r="F203" s="42" t="str">
        <x:v>percent</x:v>
      </x:c>
      <x:c r="G203" s="42" t="str">
        <x:v>measure</x:v>
      </x:c>
      <x:c r="H203" s="42" t="str">
        <x:v>100 * (total_assets[year] / total_assets[year-1] - 1); changing annual population</x:v>
      </x:c>
      <x:c r="I203" s="42"/>
      <x:c r="J203" s="42"/>
      <x:c r="K203" s="42" t="str">
        <x:v>empty CSV field; never implicit zero</x:v>
      </x:c>
      <x:c r="L203" s="42" t="str">
        <x:v>data/observations_long.csv; metadata/raw_to_analytic.csv</x:v>
      </x:c>
    </x:row>
    <x:row r="204" ht="36" customHeight="1">
      <x:c r="A204" s="41" t="str">
        <x:v>annual_ratios</x:v>
      </x:c>
      <x:c r="B204" s="41" t="str">
        <x:v>loans_bills_growth_pct</x:v>
      </x:c>
      <x:c r="C204" s="41" t="str">
        <x:v>Loans bills growth pct</x:v>
      </x:c>
      <x:c r="D204" s="41" t="str">
        <x:v>100 * (loans_and_bills[year] / loans_and_bills[year-1] - 1); changing annual population</x:v>
      </x:c>
      <x:c r="E204" s="41" t="str">
        <x:v>number</x:v>
      </x:c>
      <x:c r="F204" s="41" t="str">
        <x:v>percent</x:v>
      </x:c>
      <x:c r="G204" s="41" t="str">
        <x:v>measure</x:v>
      </x:c>
      <x:c r="H204" s="41" t="str">
        <x:v>100 * (loans_and_bills[year] / loans_and_bills[year-1] - 1); changing annual population</x:v>
      </x:c>
      <x:c r="I204" s="41"/>
      <x:c r="J204" s="41"/>
      <x:c r="K204" s="41" t="str">
        <x:v>empty CSV field; never implicit zero</x:v>
      </x:c>
      <x:c r="L204" s="41" t="str">
        <x:v>data/observations_long.csv; metadata/raw_to_analytic.csv</x:v>
      </x:c>
    </x:row>
    <x:row r="205" ht="36" customHeight="1">
      <x:c r="A205" s="42" t="str">
        <x:v>annual_ratios</x:v>
      </x:c>
      <x:c r="B205" s="42" t="str">
        <x:v>deposits_growth_pct</x:v>
      </x:c>
      <x:c r="C205" s="42" t="str">
        <x:v>Deposits growth pct</x:v>
      </x:c>
      <x:c r="D205" s="42" t="str">
        <x:v>100 * (total_deposits[year] / total_deposits[year-1] - 1); changing annual population</x:v>
      </x:c>
      <x:c r="E205" s="42" t="str">
        <x:v>number</x:v>
      </x:c>
      <x:c r="F205" s="42" t="str">
        <x:v>percent</x:v>
      </x:c>
      <x:c r="G205" s="42" t="str">
        <x:v>measure</x:v>
      </x:c>
      <x:c r="H205" s="42" t="str">
        <x:v>100 * (total_deposits[year] / total_deposits[year-1] - 1); changing annual population</x:v>
      </x:c>
      <x:c r="I205" s="42"/>
      <x:c r="J205" s="42"/>
      <x:c r="K205" s="42" t="str">
        <x:v>empty CSV field; never implicit zero</x:v>
      </x:c>
      <x:c r="L205" s="42" t="str">
        <x:v>data/observations_long.csv; metadata/raw_to_analytic.csv</x:v>
      </x:c>
    </x:row>
    <x:row r="206" ht="36" customHeight="1">
      <x:c r="A206" s="41" t="str">
        <x:v>annual_ratios</x:v>
      </x:c>
      <x:c r="B206" s="41" t="str">
        <x:v>capital_reserves_growth_pct</x:v>
      </x:c>
      <x:c r="C206" s="41" t="str">
        <x:v>Capital reserves growth pct</x:v>
      </x:c>
      <x:c r="D206" s="41" t="str">
        <x:v>100 * (capital_and_reserves[year] / capital_and_reserves[year-1] - 1); changing annual population</x:v>
      </x:c>
      <x:c r="E206" s="41" t="str">
        <x:v>number</x:v>
      </x:c>
      <x:c r="F206" s="41" t="str">
        <x:v>percent</x:v>
      </x:c>
      <x:c r="G206" s="41" t="str">
        <x:v>measure</x:v>
      </x:c>
      <x:c r="H206" s="41" t="str">
        <x:v>100 * (capital_and_reserves[year] / capital_and_reserves[year-1] - 1); changing annual population</x:v>
      </x:c>
      <x:c r="I206" s="41"/>
      <x:c r="J206" s="41"/>
      <x:c r="K206" s="41" t="str">
        <x:v>empty CSV field; never implicit zero</x:v>
      </x:c>
      <x:c r="L206" s="41" t="str">
        <x:v>data/observations_long.csv; metadata/raw_to_analytic.csv</x:v>
      </x:c>
    </x:row>
    <x:row r="207" ht="36" customHeight="1">
      <x:c r="A207" s="42" t="str">
        <x:v>annual_ratios</x:v>
      </x:c>
      <x:c r="B207" s="42" t="str">
        <x:v>flags</x:v>
      </x:c>
      <x:c r="C207" s="42" t="str">
        <x:v>Flags</x:v>
      </x:c>
      <x:c r="D207" s="42" t="str">
        <x:v>Semicolon-separated source or comparability exception codes; empty means no listed exception, not an assurance of universal comparability.</x:v>
      </x:c>
      <x:c r="E207" s="42" t="str">
        <x:v>string</x:v>
      </x:c>
      <x:c r="F207" s="42"/>
      <x:c r="G207" s="42" t="str">
        <x:v>provenance_or_identifier</x:v>
      </x:c>
      <x:c r="H207" s="42"/>
      <x:c r="I207" s="42"/>
      <x:c r="J207" s="42"/>
      <x:c r="K207" s="42" t="str">
        <x:v>empty CSV field; never implicit zero</x:v>
      </x:c>
      <x:c r="L207" s="42" t="str">
        <x:v>data/observations_long.csv; metadata/raw_to_analytic.csv</x:v>
      </x:c>
    </x:row>
    <x:row r="208" ht="36" customHeight="1">
      <x:c r="A208" s="41" t="str">
        <x:v>bank_ratios</x:v>
      </x:c>
      <x:c r="B208" s="41" t="str">
        <x:v>bank_id</x:v>
      </x:c>
      <x:c r="C208" s="41" t="str">
        <x:v>Bank id</x:v>
      </x:c>
      <x:c r="D208" s="41" t="str">
        <x:v>Stable ASCII institution identifier retained from the accepted named-bank panel.</x:v>
      </x:c>
      <x:c r="E208" s="41" t="str">
        <x:v>string</x:v>
      </x:c>
      <x:c r="F208" s="41"/>
      <x:c r="G208" s="41" t="str">
        <x:v>provenance_or_identifier</x:v>
      </x:c>
      <x:c r="H208" s="41"/>
      <x:c r="I208" s="41"/>
      <x:c r="J208" s="41"/>
      <x:c r="K208" s="41" t="str">
        <x:v>empty CSV field; never implicit zero</x:v>
      </x:c>
      <x:c r="L208" s="41" t="str">
        <x:v>data/observations_long.csv; metadata/raw_to_analytic.csv</x:v>
      </x:c>
    </x:row>
    <x:row r="209" ht="36" customHeight="1">
      <x:c r="A209" s="42" t="str">
        <x:v>bank_ratios</x:v>
      </x:c>
      <x:c r="B209" s="42" t="str">
        <x:v>bank_name</x:v>
      </x:c>
      <x:c r="C209" s="42" t="str">
        <x:v>Bank name</x:v>
      </x:c>
      <x:c r="D209" s="42" t="str">
        <x:v>UTF-8 canonical bank name; spelling retains historical Czech/German names.</x:v>
      </x:c>
      <x:c r="E209" s="42" t="str">
        <x:v>string</x:v>
      </x:c>
      <x:c r="F209" s="42"/>
      <x:c r="G209" s="42" t="str">
        <x:v>provenance_or_identifier</x:v>
      </x:c>
      <x:c r="H209" s="42"/>
      <x:c r="I209" s="42"/>
      <x:c r="J209" s="42"/>
      <x:c r="K209" s="42" t="str">
        <x:v>empty CSV field; never implicit zero</x:v>
      </x:c>
      <x:c r="L209" s="42" t="str">
        <x:v>data/observations_long.csv; metadata/raw_to_analytic.csv</x:v>
      </x:c>
    </x:row>
    <x:row r="210" ht="36" customHeight="1">
      <x:c r="A210" s="41" t="str">
        <x:v>bank_ratios</x:v>
      </x:c>
      <x:c r="B210" s="41" t="str">
        <x:v>year</x:v>
      </x:c>
      <x:c r="C210" s="41" t="str">
        <x:v>Year</x:v>
      </x:c>
      <x:c r="D210" s="41" t="str">
        <x:v>Calendar year of the observation; balance-sheet stocks are year-end unless a source-date field says otherwise.</x:v>
      </x:c>
      <x:c r="E210" s="41" t="str">
        <x:v>integer</x:v>
      </x:c>
      <x:c r="F210" s="41"/>
      <x:c r="G210" s="41" t="str">
        <x:v>provenance_or_identifier</x:v>
      </x:c>
      <x:c r="H210" s="41"/>
      <x:c r="I210" s="41"/>
      <x:c r="J210" s="41"/>
      <x:c r="K210" s="41" t="str">
        <x:v>empty CSV field; never implicit zero</x:v>
      </x:c>
      <x:c r="L210" s="41" t="str">
        <x:v>data/observations_long.csv; metadata/raw_to_analytic.csv</x:v>
      </x:c>
    </x:row>
    <x:row r="211" ht="36" customHeight="1">
      <x:c r="A211" s="42" t="str">
        <x:v>bank_ratios</x:v>
      </x:c>
      <x:c r="B211" s="42" t="str">
        <x:v>population_id</x:v>
      </x:c>
      <x:c r="C211" s="42" t="str">
        <x:v>Population id</x:v>
      </x:c>
      <x:c r="D211" s="42" t="str">
        <x:v>Join key to metadata/population_definitions.csv; populations must not be pooled or added without a defined bridge.</x:v>
      </x:c>
      <x:c r="E211" s="42" t="str">
        <x:v>string</x:v>
      </x:c>
      <x:c r="F211" s="42"/>
      <x:c r="G211" s="42" t="str">
        <x:v>provenance_or_identifier</x:v>
      </x:c>
      <x:c r="H211" s="42"/>
      <x:c r="I211" s="42"/>
      <x:c r="J211" s="42"/>
      <x:c r="K211" s="42" t="str">
        <x:v>empty CSV field; never implicit zero</x:v>
      </x:c>
      <x:c r="L211" s="42" t="str">
        <x:v>data/observations_long.csv; metadata/raw_to_analytic.csv</x:v>
      </x:c>
    </x:row>
    <x:row r="212" ht="36" customHeight="1">
      <x:c r="A212" s="41" t="str">
        <x:v>bank_ratios</x:v>
      </x:c>
      <x:c r="B212" s="41" t="str">
        <x:v>capital_and_reserves</x:v>
      </x:c>
      <x:c r="C212" s="41" t="str">
        <x:v>Capital and reserves</x:v>
      </x:c>
      <x:c r="D212" s="41" t="str">
        <x:v>paid_capital + published_reserves</x:v>
      </x:c>
      <x:c r="E212" s="41" t="str">
        <x:v>number</x:v>
      </x:c>
      <x:c r="F212" s="41" t="str">
        <x:v>million_kc_nominal</x:v>
      </x:c>
      <x:c r="G212" s="41" t="str">
        <x:v>measure</x:v>
      </x:c>
      <x:c r="H212" s="41" t="str">
        <x:v>paid_capital + published_reserves</x:v>
      </x:c>
      <x:c r="I212" s="41"/>
      <x:c r="J212" s="41"/>
      <x:c r="K212" s="41" t="str">
        <x:v>empty CSV field; never implicit zero</x:v>
      </x:c>
      <x:c r="L212" s="41" t="str">
        <x:v>data/observations_long.csv; metadata/raw_to_analytic.csv</x:v>
      </x:c>
    </x:row>
    <x:row r="213" ht="36" customHeight="1">
      <x:c r="A213" s="42" t="str">
        <x:v>bank_ratios</x:v>
      </x:c>
      <x:c r="B213" s="42" t="str">
        <x:v>debtors_and_bills</x:v>
      </x:c>
      <x:c r="C213" s="42" t="str">
        <x:v>Debtors and bills</x:v>
      </x:c>
      <x:c r="D213" s="42" t="str">
        <x:v>debtors + bills</x:v>
      </x:c>
      <x:c r="E213" s="42" t="str">
        <x:v>number</x:v>
      </x:c>
      <x:c r="F213" s="42" t="str">
        <x:v>million_kc_nominal</x:v>
      </x:c>
      <x:c r="G213" s="42" t="str">
        <x:v>measure</x:v>
      </x:c>
      <x:c r="H213" s="42" t="str">
        <x:v>debtors + bills</x:v>
      </x:c>
      <x:c r="I213" s="42"/>
      <x:c r="J213" s="42"/>
      <x:c r="K213" s="42" t="str">
        <x:v>empty CSV field; never implicit zero</x:v>
      </x:c>
      <x:c r="L213" s="42" t="str">
        <x:v>data/observations_long.csv; metadata/raw_to_analytic.csv</x:v>
      </x:c>
    </x:row>
    <x:row r="214" ht="36" customHeight="1">
      <x:c r="A214" s="41" t="str">
        <x:v>bank_ratios</x:v>
      </x:c>
      <x:c r="B214" s="41" t="str">
        <x:v>capital_assets_pct</x:v>
      </x:c>
      <x:c r="C214" s="41" t="str">
        <x:v>Capital assets pct</x:v>
      </x:c>
      <x:c r="D214" s="41" t="str">
        <x:v>100 * capital_and_reserves / total_assets; closing-year assets. Source categories remain bank-specific; income ratios are intensities, not NIM.</x:v>
      </x:c>
      <x:c r="E214" s="41" t="str">
        <x:v>number</x:v>
      </x:c>
      <x:c r="F214" s="41" t="str">
        <x:v>percent</x:v>
      </x:c>
      <x:c r="G214" s="41" t="str">
        <x:v>measure</x:v>
      </x:c>
      <x:c r="H214" s="41" t="str">
        <x:v>100 * capital_and_reserves / total_assets; closing-year assets</x:v>
      </x:c>
      <x:c r="I214" s="41"/>
      <x:c r="J214" s="41"/>
      <x:c r="K214" s="41" t="str">
        <x:v>empty CSV field; never implicit zero</x:v>
      </x:c>
      <x:c r="L214" s="41" t="str">
        <x:v>data/observations_long.csv; metadata/raw_to_analytic.csv</x:v>
      </x:c>
    </x:row>
    <x:row r="215" ht="36" customHeight="1">
      <x:c r="A215" s="42" t="str">
        <x:v>bank_ratios</x:v>
      </x:c>
      <x:c r="B215" s="42" t="str">
        <x:v>debtors_bills_assets_pct</x:v>
      </x:c>
      <x:c r="C215" s="42" t="str">
        <x:v>Debtors bills assets pct</x:v>
      </x:c>
      <x:c r="D215" s="42" t="str">
        <x:v>100 * debtors_and_bills / total_assets; closing-year assets. Source categories remain bank-specific; income ratios are intensities, not NIM.</x:v>
      </x:c>
      <x:c r="E215" s="42" t="str">
        <x:v>number</x:v>
      </x:c>
      <x:c r="F215" s="42" t="str">
        <x:v>percent</x:v>
      </x:c>
      <x:c r="G215" s="42" t="str">
        <x:v>measure</x:v>
      </x:c>
      <x:c r="H215" s="42" t="str">
        <x:v>100 * debtors_and_bills / total_assets; closing-year assets</x:v>
      </x:c>
      <x:c r="I215" s="42"/>
      <x:c r="J215" s="42"/>
      <x:c r="K215" s="42" t="str">
        <x:v>empty CSV field; never implicit zero</x:v>
      </x:c>
      <x:c r="L215" s="42" t="str">
        <x:v>data/observations_long.csv; metadata/raw_to_analytic.csv</x:v>
      </x:c>
    </x:row>
    <x:row r="216" ht="36" customHeight="1">
      <x:c r="A216" s="41" t="str">
        <x:v>bank_ratios</x:v>
      </x:c>
      <x:c r="B216" s="41" t="str">
        <x:v>cash_assets_pct</x:v>
      </x:c>
      <x:c r="C216" s="41" t="str">
        <x:v>Cash assets pct</x:v>
      </x:c>
      <x:c r="D216" s="41" t="str">
        <x:v>100 * cash / total_assets; closing-year assets. Source categories remain bank-specific; income ratios are intensities, not NIM.</x:v>
      </x:c>
      <x:c r="E216" s="41" t="str">
        <x:v>number</x:v>
      </x:c>
      <x:c r="F216" s="41" t="str">
        <x:v>percent</x:v>
      </x:c>
      <x:c r="G216" s="41" t="str">
        <x:v>measure</x:v>
      </x:c>
      <x:c r="H216" s="41" t="str">
        <x:v>100 * cash / total_assets; closing-year assets</x:v>
      </x:c>
      <x:c r="I216" s="41"/>
      <x:c r="J216" s="41"/>
      <x:c r="K216" s="41" t="str">
        <x:v>empty CSV field; never implicit zero</x:v>
      </x:c>
      <x:c r="L216" s="41" t="str">
        <x:v>data/observations_long.csv; metadata/raw_to_analytic.csv</x:v>
      </x:c>
    </x:row>
    <x:row r="217" ht="36" customHeight="1">
      <x:c r="A217" s="42" t="str">
        <x:v>bank_ratios</x:v>
      </x:c>
      <x:c r="B217" s="42" t="str">
        <x:v>securities_assets_pct</x:v>
      </x:c>
      <x:c r="C217" s="42" t="str">
        <x:v>Securities assets pct</x:v>
      </x:c>
      <x:c r="D217" s="42" t="str">
        <x:v>100 * securities / total_assets; closing-year assets. Source categories remain bank-specific; income ratios are intensities, not NIM.</x:v>
      </x:c>
      <x:c r="E217" s="42" t="str">
        <x:v>number</x:v>
      </x:c>
      <x:c r="F217" s="42" t="str">
        <x:v>percent</x:v>
      </x:c>
      <x:c r="G217" s="42" t="str">
        <x:v>measure</x:v>
      </x:c>
      <x:c r="H217" s="42" t="str">
        <x:v>100 * securities / total_assets; closing-year assets</x:v>
      </x:c>
      <x:c r="I217" s="42"/>
      <x:c r="J217" s="42"/>
      <x:c r="K217" s="42" t="str">
        <x:v>empty CSV field; never implicit zero</x:v>
      </x:c>
      <x:c r="L217" s="42" t="str">
        <x:v>data/observations_long.csv; metadata/raw_to_analytic.csv</x:v>
      </x:c>
    </x:row>
    <x:row r="218" ht="36" customHeight="1">
      <x:c r="A218" s="41" t="str">
        <x:v>bank_ratios</x:v>
      </x:c>
      <x:c r="B218" s="41" t="str">
        <x:v>source_deposits_assets_pct</x:v>
      </x:c>
      <x:c r="C218" s="41" t="str">
        <x:v>Source deposits assets pct</x:v>
      </x:c>
      <x:c r="D218" s="41" t="str">
        <x:v>100 * source_deposits / total_assets; closing-year assets. Source categories remain bank-specific; income ratios are intensities, not NIM.</x:v>
      </x:c>
      <x:c r="E218" s="41" t="str">
        <x:v>number</x:v>
      </x:c>
      <x:c r="F218" s="41" t="str">
        <x:v>percent</x:v>
      </x:c>
      <x:c r="G218" s="41" t="str">
        <x:v>measure</x:v>
      </x:c>
      <x:c r="H218" s="41" t="str">
        <x:v>100 * source_deposits / total_assets; closing-year assets</x:v>
      </x:c>
      <x:c r="I218" s="41"/>
      <x:c r="J218" s="41"/>
      <x:c r="K218" s="41" t="str">
        <x:v>empty CSV field; never implicit zero</x:v>
      </x:c>
      <x:c r="L218" s="41" t="str">
        <x:v>data/observations_long.csv; metadata/raw_to_analytic.csv</x:v>
      </x:c>
    </x:row>
    <x:row r="219" ht="36" customHeight="1">
      <x:c r="A219" s="42" t="str">
        <x:v>bank_ratios</x:v>
      </x:c>
      <x:c r="B219" s="42" t="str">
        <x:v>general_creditors_assets_pct</x:v>
      </x:c>
      <x:c r="C219" s="42" t="str">
        <x:v>General creditors assets pct</x:v>
      </x:c>
      <x:c r="D219" s="42" t="str">
        <x:v>100 * general_creditors / total_assets; closing-year assets. Source categories remain bank-specific; income ratios are intensities, not NIM.</x:v>
      </x:c>
      <x:c r="E219" s="42" t="str">
        <x:v>number</x:v>
      </x:c>
      <x:c r="F219" s="42" t="str">
        <x:v>percent</x:v>
      </x:c>
      <x:c r="G219" s="42" t="str">
        <x:v>measure</x:v>
      </x:c>
      <x:c r="H219" s="42" t="str">
        <x:v>100 * general_creditors / total_assets; closing-year assets</x:v>
      </x:c>
      <x:c r="I219" s="42"/>
      <x:c r="J219" s="42"/>
      <x:c r="K219" s="42" t="str">
        <x:v>empty CSV field; never implicit zero</x:v>
      </x:c>
      <x:c r="L219" s="42" t="str">
        <x:v>data/observations_long.csv; metadata/raw_to_analytic.csv</x:v>
      </x:c>
    </x:row>
    <x:row r="220" ht="36" customHeight="1">
      <x:c r="A220" s="41" t="str">
        <x:v>bank_ratios</x:v>
      </x:c>
      <x:c r="B220" s="41" t="str">
        <x:v>net_interest_assets_pct</x:v>
      </x:c>
      <x:c r="C220" s="41" t="str">
        <x:v>Net interest assets pct</x:v>
      </x:c>
      <x:c r="D220" s="41" t="str">
        <x:v>100 * net_interest / total_assets; closing-year assets. Source categories remain bank-specific; income ratios are intensities, not NIM.</x:v>
      </x:c>
      <x:c r="E220" s="41" t="str">
        <x:v>number</x:v>
      </x:c>
      <x:c r="F220" s="41" t="str">
        <x:v>percent</x:v>
      </x:c>
      <x:c r="G220" s="41" t="str">
        <x:v>measure</x:v>
      </x:c>
      <x:c r="H220" s="41" t="str">
        <x:v>100 * net_interest / total_assets; closing-year assets</x:v>
      </x:c>
      <x:c r="I220" s="41"/>
      <x:c r="J220" s="41"/>
      <x:c r="K220" s="41" t="str">
        <x:v>empty CSV field; never implicit zero</x:v>
      </x:c>
      <x:c r="L220" s="41" t="str">
        <x:v>data/observations_long.csv; metadata/raw_to_analytic.csv</x:v>
      </x:c>
    </x:row>
    <x:row r="221" ht="36" customHeight="1">
      <x:c r="A221" s="42" t="str">
        <x:v>bank_ratios</x:v>
      </x:c>
      <x:c r="B221" s="42" t="str">
        <x:v>commissions_assets_pct</x:v>
      </x:c>
      <x:c r="C221" s="42" t="str">
        <x:v>Commissions assets pct</x:v>
      </x:c>
      <x:c r="D221" s="42" t="str">
        <x:v>100 * commissions / total_assets; closing-year assets. Source categories remain bank-specific; income ratios are intensities, not NIM.</x:v>
      </x:c>
      <x:c r="E221" s="42" t="str">
        <x:v>number</x:v>
      </x:c>
      <x:c r="F221" s="42" t="str">
        <x:v>percent</x:v>
      </x:c>
      <x:c r="G221" s="42" t="str">
        <x:v>measure</x:v>
      </x:c>
      <x:c r="H221" s="42" t="str">
        <x:v>100 * commissions / total_assets; closing-year assets</x:v>
      </x:c>
      <x:c r="I221" s="42"/>
      <x:c r="J221" s="42"/>
      <x:c r="K221" s="42" t="str">
        <x:v>empty CSV field; never implicit zero</x:v>
      </x:c>
      <x:c r="L221" s="42" t="str">
        <x:v>data/observations_long.csv; metadata/raw_to_analytic.csv</x:v>
      </x:c>
    </x:row>
    <x:row r="222" ht="36" customHeight="1">
      <x:c r="A222" s="41" t="str">
        <x:v>bank_ratios</x:v>
      </x:c>
      <x:c r="B222" s="41" t="str">
        <x:v>assets_index_1933_100</x:v>
      </x:c>
      <x:c r="C222" s="41" t="str">
        <x:v>Assets index 1933 100</x:v>
      </x:c>
      <x:c r="D222" s="41" t="str">
        <x:v>100 * total_assets[year] / total_assets[1933]</x:v>
      </x:c>
      <x:c r="E222" s="41" t="str">
        <x:v>number</x:v>
      </x:c>
      <x:c r="F222" s="41" t="str">
        <x:v>index_1933_100</x:v>
      </x:c>
      <x:c r="G222" s="41" t="str">
        <x:v>measure</x:v>
      </x:c>
      <x:c r="H222" s="41" t="str">
        <x:v>100 * total_assets[year] / total_assets[1933]</x:v>
      </x:c>
      <x:c r="I222" s="41"/>
      <x:c r="J222" s="41"/>
      <x:c r="K222" s="41" t="str">
        <x:v>empty CSV field; never implicit zero</x:v>
      </x:c>
      <x:c r="L222" s="41" t="str">
        <x:v>data/observations_long.csv; metadata/raw_to_analytic.csv</x:v>
      </x:c>
    </x:row>
    <x:row r="223" ht="36" customHeight="1">
      <x:c r="A223" s="42" t="str">
        <x:v>bank_ratios</x:v>
      </x:c>
      <x:c r="B223" s="42" t="str">
        <x:v>capital_reserves_index_1933_100</x:v>
      </x:c>
      <x:c r="C223" s="42" t="str">
        <x:v>Capital reserves index 1933 100</x:v>
      </x:c>
      <x:c r="D223" s="42" t="str">
        <x:v>100 * capital_and_reserves[year] / capital_and_reserves[1933]</x:v>
      </x:c>
      <x:c r="E223" s="42" t="str">
        <x:v>number</x:v>
      </x:c>
      <x:c r="F223" s="42" t="str">
        <x:v>index_1933_100</x:v>
      </x:c>
      <x:c r="G223" s="42" t="str">
        <x:v>measure</x:v>
      </x:c>
      <x:c r="H223" s="42" t="str">
        <x:v>100 * capital_and_reserves[year] / capital_and_reserves[1933]</x:v>
      </x:c>
      <x:c r="I223" s="42"/>
      <x:c r="J223" s="42"/>
      <x:c r="K223" s="42" t="str">
        <x:v>empty CSV field; never implicit zero</x:v>
      </x:c>
      <x:c r="L223" s="42" t="str">
        <x:v>data/observations_long.csv; metadata/raw_to_analytic.csv</x:v>
      </x:c>
    </x:row>
    <x:row r="224" ht="36" customHeight="1">
      <x:c r="A224" s="41" t="str">
        <x:v>bank_ratios</x:v>
      </x:c>
      <x:c r="B224" s="41" t="str">
        <x:v>debtors_bills_index_1933_100</x:v>
      </x:c>
      <x:c r="C224" s="41" t="str">
        <x:v>Debtors bills index 1933 100</x:v>
      </x:c>
      <x:c r="D224" s="41" t="str">
        <x:v>100 * debtors_and_bills[year] / debtors_and_bills[1933]</x:v>
      </x:c>
      <x:c r="E224" s="41" t="str">
        <x:v>number</x:v>
      </x:c>
      <x:c r="F224" s="41" t="str">
        <x:v>index_1933_100</x:v>
      </x:c>
      <x:c r="G224" s="41" t="str">
        <x:v>measure</x:v>
      </x:c>
      <x:c r="H224" s="41" t="str">
        <x:v>100 * debtors_and_bills[year] / debtors_and_bills[1933]</x:v>
      </x:c>
      <x:c r="I224" s="41"/>
      <x:c r="J224" s="41"/>
      <x:c r="K224" s="41" t="str">
        <x:v>empty CSV field; never implicit zero</x:v>
      </x:c>
      <x:c r="L224" s="41" t="str">
        <x:v>data/observations_long.csv; metadata/raw_to_analytic.csv</x:v>
      </x:c>
    </x:row>
    <x:row r="225" ht="36" customHeight="1">
      <x:c r="A225" s="42" t="str">
        <x:v>bank_ratios</x:v>
      </x:c>
      <x:c r="B225" s="42" t="str">
        <x:v>net_interest_index_1933_100</x:v>
      </x:c>
      <x:c r="C225" s="42" t="str">
        <x:v>Net interest index 1933 100</x:v>
      </x:c>
      <x:c r="D225" s="42" t="str">
        <x:v>100 * net_interest[year] / net_interest[1933]</x:v>
      </x:c>
      <x:c r="E225" s="42" t="str">
        <x:v>number</x:v>
      </x:c>
      <x:c r="F225" s="42" t="str">
        <x:v>index_1933_100</x:v>
      </x:c>
      <x:c r="G225" s="42" t="str">
        <x:v>measure</x:v>
      </x:c>
      <x:c r="H225" s="42" t="str">
        <x:v>100 * net_interest[year] / net_interest[1933]</x:v>
      </x:c>
      <x:c r="I225" s="42"/>
      <x:c r="J225" s="42"/>
      <x:c r="K225" s="42" t="str">
        <x:v>empty CSV field; never implicit zero</x:v>
      </x:c>
      <x:c r="L225" s="42" t="str">
        <x:v>data/observations_long.csv; metadata/raw_to_analytic.csv</x:v>
      </x:c>
    </x:row>
    <x:row r="226" ht="36" customHeight="1">
      <x:c r="A226" s="41" t="str">
        <x:v>bank_ratios</x:v>
      </x:c>
      <x:c r="B226" s="41" t="str">
        <x:v>commissions_index_1933_100</x:v>
      </x:c>
      <x:c r="C226" s="41" t="str">
        <x:v>Commissions index 1933 100</x:v>
      </x:c>
      <x:c r="D226" s="41" t="str">
        <x:v>100 * commissions[year] / commissions[1933]</x:v>
      </x:c>
      <x:c r="E226" s="41" t="str">
        <x:v>number</x:v>
      </x:c>
      <x:c r="F226" s="41" t="str">
        <x:v>index_1933_100</x:v>
      </x:c>
      <x:c r="G226" s="41" t="str">
        <x:v>measure</x:v>
      </x:c>
      <x:c r="H226" s="41" t="str">
        <x:v>100 * commissions[year] / commissions[1933]</x:v>
      </x:c>
      <x:c r="I226" s="41"/>
      <x:c r="J226" s="41"/>
      <x:c r="K226" s="41" t="str">
        <x:v>empty CSV field; never implicit zero</x:v>
      </x:c>
      <x:c r="L226" s="41" t="str">
        <x:v>data/observations_long.csv; metadata/raw_to_analytic.csv</x:v>
      </x:c>
    </x:row>
    <x:row r="227" ht="36" customHeight="1">
      <x:c r="A227" s="42" t="str">
        <x:v>bank_ratios</x:v>
      </x:c>
      <x:c r="B227" s="42" t="str">
        <x:v>flags</x:v>
      </x:c>
      <x:c r="C227" s="42" t="str">
        <x:v>Flags</x:v>
      </x:c>
      <x:c r="D227" s="42" t="str">
        <x:v>Semicolon-separated source or comparability exception codes; empty means no listed exception, not an assurance of universal comparability.</x:v>
      </x:c>
      <x:c r="E227" s="42" t="str">
        <x:v>string</x:v>
      </x:c>
      <x:c r="F227" s="42"/>
      <x:c r="G227" s="42" t="str">
        <x:v>provenance_or_identifier</x:v>
      </x:c>
      <x:c r="H227" s="42"/>
      <x:c r="I227" s="42"/>
      <x:c r="J227" s="42"/>
      <x:c r="K227" s="42" t="str">
        <x:v>empty CSV field; never implicit zero</x:v>
      </x:c>
      <x:c r="L227" s="42" t="str">
        <x:v>data/observations_long.csv; metadata/raw_to_analytic.csv</x:v>
      </x:c>
    </x:row>
    <x:row r="228" ht="36" customHeight="1">
      <x:c r="A228" s="41" t="str">
        <x:v>central_bank_context</x:v>
      </x:c>
      <x:c r="B228" s="41" t="str">
        <x:v>year</x:v>
      </x:c>
      <x:c r="C228" s="41" t="str">
        <x:v>Year</x:v>
      </x:c>
      <x:c r="D228" s="41" t="str">
        <x:v>Calendar year of the observation; balance-sheet stocks are year-end unless a source-date field says otherwise.</x:v>
      </x:c>
      <x:c r="E228" s="41" t="str">
        <x:v>integer</x:v>
      </x:c>
      <x:c r="F228" s="41"/>
      <x:c r="G228" s="41" t="str">
        <x:v>provenance_or_identifier</x:v>
      </x:c>
      <x:c r="H228" s="41"/>
      <x:c r="I228" s="41"/>
      <x:c r="J228" s="41"/>
      <x:c r="K228" s="41" t="str">
        <x:v>empty CSV field; never implicit zero</x:v>
      </x:c>
      <x:c r="L228" s="41" t="str">
        <x:v>data/observations_long.csv; metadata/raw_to_analytic.csv</x:v>
      </x:c>
    </x:row>
    <x:row r="229" ht="36" customHeight="1">
      <x:c r="A229" s="42" t="str">
        <x:v>central_bank_context</x:v>
      </x:c>
      <x:c r="B229" s="42" t="str">
        <x:v>population_id</x:v>
      </x:c>
      <x:c r="C229" s="42" t="str">
        <x:v>Population id</x:v>
      </x:c>
      <x:c r="D229" s="42" t="str">
        <x:v>Join key to metadata/population_definitions.csv; populations must not be pooled or added without a defined bridge.</x:v>
      </x:c>
      <x:c r="E229" s="42" t="str">
        <x:v>string</x:v>
      </x:c>
      <x:c r="F229" s="42"/>
      <x:c r="G229" s="42" t="str">
        <x:v>provenance_or_identifier</x:v>
      </x:c>
      <x:c r="H229" s="42"/>
      <x:c r="I229" s="42"/>
      <x:c r="J229" s="42"/>
      <x:c r="K229" s="42" t="str">
        <x:v>empty CSV field; never implicit zero</x:v>
      </x:c>
      <x:c r="L229" s="42" t="str">
        <x:v>data/observations_long.csv; metadata/raw_to_analytic.csv</x:v>
      </x:c>
    </x:row>
    <x:row r="230" ht="36" customHeight="1">
      <x:c r="A230" s="41" t="str">
        <x:v>central_bank_context</x:v>
      </x:c>
      <x:c r="B230" s="41" t="str">
        <x:v>discounted_bills</x:v>
      </x:c>
      <x:c r="C230" s="41" t="str">
        <x:v>Discounted bills</x:v>
      </x:c>
      <x:c r="D230" s="41" t="str">
        <x:v>National Bank discounted bills. Separate institutional context; no consolidation with commercial banks.</x:v>
      </x:c>
      <x:c r="E230" s="41" t="str">
        <x:v>number</x:v>
      </x:c>
      <x:c r="F230" s="41" t="str">
        <x:v>million_kc_nominal</x:v>
      </x:c>
      <x:c r="G230" s="41" t="str">
        <x:v>measure</x:v>
      </x:c>
      <x:c r="H230" s="41"/>
      <x:c r="I230" s="41"/>
      <x:c r="J230" s="41" t="str">
        <x:v>discounted_bills</x:v>
      </x:c>
      <x:c r="K230" s="41" t="str">
        <x:v>empty CSV field; never implicit zero</x:v>
      </x:c>
      <x:c r="L230" s="41" t="str">
        <x:v>data/observations_long.csv; metadata/raw_to_analytic.csv</x:v>
      </x:c>
    </x:row>
    <x:row r="231" ht="36" customHeight="1">
      <x:c r="A231" s="42" t="str">
        <x:v>central_bank_context</x:v>
      </x:c>
      <x:c r="B231" s="42" t="str">
        <x:v>discounted_securities</x:v>
      </x:c>
      <x:c r="C231" s="42" t="str">
        <x:v>Discounted securities</x:v>
      </x:c>
      <x:c r="D231" s="42" t="str">
        <x:v>National Bank discounted securities. Separate institutional context; no consolidation with commercial banks.</x:v>
      </x:c>
      <x:c r="E231" s="42" t="str">
        <x:v>number</x:v>
      </x:c>
      <x:c r="F231" s="42" t="str">
        <x:v>million_kc_nominal</x:v>
      </x:c>
      <x:c r="G231" s="42" t="str">
        <x:v>measure</x:v>
      </x:c>
      <x:c r="H231" s="42"/>
      <x:c r="I231" s="42"/>
      <x:c r="J231" s="42" t="str">
        <x:v>discounted_securities</x:v>
      </x:c>
      <x:c r="K231" s="42" t="str">
        <x:v>empty CSV field; never implicit zero</x:v>
      </x:c>
      <x:c r="L231" s="42" t="str">
        <x:v>data/observations_long.csv; metadata/raw_to_analytic.csv</x:v>
      </x:c>
    </x:row>
    <x:row r="232" ht="36" customHeight="1">
      <x:c r="A232" s="41" t="str">
        <x:v>central_bank_context</x:v>
      </x:c>
      <x:c r="B232" s="41" t="str">
        <x:v>advances_on_collateral</x:v>
      </x:c>
      <x:c r="C232" s="41" t="str">
        <x:v>Advances on collateral</x:v>
      </x:c>
      <x:c r="D232" s="41" t="str">
        <x:v>National Bank advances on collateral. Separate institutional context; no consolidation with commercial banks.</x:v>
      </x:c>
      <x:c r="E232" s="41" t="str">
        <x:v>number</x:v>
      </x:c>
      <x:c r="F232" s="41" t="str">
        <x:v>million_kc_nominal</x:v>
      </x:c>
      <x:c r="G232" s="41" t="str">
        <x:v>measure</x:v>
      </x:c>
      <x:c r="H232" s="41"/>
      <x:c r="I232" s="41"/>
      <x:c r="J232" s="41" t="str">
        <x:v>advances_on_collateral</x:v>
      </x:c>
      <x:c r="K232" s="41" t="str">
        <x:v>empty CSV field; never implicit zero</x:v>
      </x:c>
      <x:c r="L232" s="41" t="str">
        <x:v>data/observations_long.csv; metadata/raw_to_analytic.csv</x:v>
      </x:c>
    </x:row>
    <x:row r="233" ht="36" customHeight="1">
      <x:c r="A233" s="42" t="str">
        <x:v>central_bank_context</x:v>
      </x:c>
      <x:c r="B233" s="42" t="str">
        <x:v>total_assets</x:v>
      </x:c>
      <x:c r="C233" s="42" t="str">
        <x:v>Total assets</x:v>
      </x:c>
      <x:c r="D233" s="42" t="str">
        <x:v>National Bank total assets. Separate institutional context; no consolidation with commercial banks.</x:v>
      </x:c>
      <x:c r="E233" s="42" t="str">
        <x:v>number</x:v>
      </x:c>
      <x:c r="F233" s="42" t="str">
        <x:v>million_kc_nominal</x:v>
      </x:c>
      <x:c r="G233" s="42" t="str">
        <x:v>measure</x:v>
      </x:c>
      <x:c r="H233" s="42"/>
      <x:c r="I233" s="42"/>
      <x:c r="J233" s="42" t="str">
        <x:v>total_assets</x:v>
      </x:c>
      <x:c r="K233" s="42" t="str">
        <x:v>empty CSV field; never implicit zero</x:v>
      </x:c>
      <x:c r="L233" s="42" t="str">
        <x:v>data/observations_long.csv; metadata/raw_to_analytic.csv</x:v>
      </x:c>
    </x:row>
    <x:row r="234" ht="36" customHeight="1">
      <x:c r="A234" s="41" t="str">
        <x:v>central_bank_context</x:v>
      </x:c>
      <x:c r="B234" s="41" t="str">
        <x:v>notes_in_circulation</x:v>
      </x:c>
      <x:c r="C234" s="41" t="str">
        <x:v>Notes in circulation</x:v>
      </x:c>
      <x:c r="D234" s="41" t="str">
        <x:v>National Bank notes in circulation. Separate institutional context; no consolidation with commercial banks.</x:v>
      </x:c>
      <x:c r="E234" s="41" t="str">
        <x:v>number</x:v>
      </x:c>
      <x:c r="F234" s="41" t="str">
        <x:v>million_kc_nominal</x:v>
      </x:c>
      <x:c r="G234" s="41" t="str">
        <x:v>measure</x:v>
      </x:c>
      <x:c r="H234" s="41"/>
      <x:c r="I234" s="41"/>
      <x:c r="J234" s="41" t="str">
        <x:v>notes_in_circulation</x:v>
      </x:c>
      <x:c r="K234" s="41" t="str">
        <x:v>empty CSV field; never implicit zero</x:v>
      </x:c>
      <x:c r="L234" s="41" t="str">
        <x:v>data/observations_long.csv; metadata/raw_to_analytic.csv</x:v>
      </x:c>
    </x:row>
    <x:row r="235" ht="36" customHeight="1">
      <x:c r="A235" s="42" t="str">
        <x:v>central_bank_context</x:v>
      </x:c>
      <x:c r="B235" s="42" t="str">
        <x:v>source_id</x:v>
      </x:c>
      <x:c r="C235" s="42" t="str">
        <x:v>Source id</x:v>
      </x:c>
      <x:c r="D235" s="42" t="str">
        <x:v>Source identifier joining metadata/source_index.csv.</x:v>
      </x:c>
      <x:c r="E235" s="42" t="str">
        <x:v>string</x:v>
      </x:c>
      <x:c r="F235" s="42"/>
      <x:c r="G235" s="42" t="str">
        <x:v>provenance_or_identifier</x:v>
      </x:c>
      <x:c r="H235" s="42"/>
      <x:c r="I235" s="42"/>
      <x:c r="J235" s="42"/>
      <x:c r="K235" s="42" t="str">
        <x:v>empty CSV field; never implicit zero</x:v>
      </x:c>
      <x:c r="L235" s="42" t="str">
        <x:v>data/observations_long.csv; metadata/raw_to_analytic.csv</x:v>
      </x:c>
    </x:row>
    <x:row r="236" ht="36" customHeight="1">
      <x:c r="A236" s="41" t="str">
        <x:v>central_bank_context</x:v>
      </x:c>
      <x:c r="B236" s="41" t="str">
        <x:v>source_pages</x:v>
      </x:c>
      <x:c r="C236" s="41" t="str">
        <x:v>Source pages</x:v>
      </x:c>
      <x:c r="D236" s="41" t="str">
        <x:v>Printed and/or digital source locations; digital handbook page numbers are not original-edition pagination.</x:v>
      </x:c>
      <x:c r="E236" s="41" t="str">
        <x:v>string</x:v>
      </x:c>
      <x:c r="F236" s="41"/>
      <x:c r="G236" s="41" t="str">
        <x:v>provenance_or_identifier</x:v>
      </x:c>
      <x:c r="H236" s="41"/>
      <x:c r="I236" s="41"/>
      <x:c r="J236" s="41"/>
      <x:c r="K236" s="41" t="str">
        <x:v>empty CSV field; never implicit zero</x:v>
      </x:c>
      <x:c r="L236" s="41" t="str">
        <x:v>data/observations_long.csv; metadata/raw_to_analytic.csv</x:v>
      </x:c>
    </x:row>
    <x:row r="237" ht="36" customHeight="1">
      <x:c r="A237" s="42" t="str">
        <x:v>central_bank_context</x:v>
      </x:c>
      <x:c r="B237" s="42" t="str">
        <x:v>flags</x:v>
      </x:c>
      <x:c r="C237" s="42" t="str">
        <x:v>Flags</x:v>
      </x:c>
      <x:c r="D237" s="42" t="str">
        <x:v>Semicolon-separated source or comparability exception codes; empty means no listed exception, not an assurance of universal comparability.</x:v>
      </x:c>
      <x:c r="E237" s="42" t="str">
        <x:v>string</x:v>
      </x:c>
      <x:c r="F237" s="42"/>
      <x:c r="G237" s="42" t="str">
        <x:v>provenance_or_identifier</x:v>
      </x:c>
      <x:c r="H237" s="42"/>
      <x:c r="I237" s="42"/>
      <x:c r="J237" s="42"/>
      <x:c r="K237" s="42" t="str">
        <x:v>empty CSV field; never implicit zero</x:v>
      </x:c>
      <x:c r="L237" s="42" t="str">
        <x:v>data/observations_long.csv; metadata/raw_to_analytic.csv</x:v>
      </x:c>
    </x:row>
    <x:row r="238" ht="36" customHeight="1">
      <x:c r="A238" s="41" t="str">
        <x:v>price_context</x:v>
      </x:c>
      <x:c r="B238" s="41" t="str">
        <x:v>year</x:v>
      </x:c>
      <x:c r="C238" s="41" t="str">
        <x:v>Year</x:v>
      </x:c>
      <x:c r="D238" s="41" t="str">
        <x:v>Calendar year of the observation; balance-sheet stocks are year-end unless a source-date field says otherwise.</x:v>
      </x:c>
      <x:c r="E238" s="41" t="str">
        <x:v>integer</x:v>
      </x:c>
      <x:c r="F238" s="41"/>
      <x:c r="G238" s="41" t="str">
        <x:v>provenance_or_identifier</x:v>
      </x:c>
      <x:c r="H238" s="41"/>
      <x:c r="I238" s="41"/>
      <x:c r="J238" s="41"/>
      <x:c r="K238" s="41" t="str">
        <x:v>empty CSV field; never implicit zero</x:v>
      </x:c>
      <x:c r="L238" s="41" t="str">
        <x:v>data/observations_long.csv; metadata/raw_to_analytic.csv</x:v>
      </x:c>
    </x:row>
    <x:row r="239" ht="36" customHeight="1">
      <x:c r="A239" s="42" t="str">
        <x:v>price_context</x:v>
      </x:c>
      <x:c r="B239" s="42" t="str">
        <x:v>population_id</x:v>
      </x:c>
      <x:c r="C239" s="42" t="str">
        <x:v>Population id</x:v>
      </x:c>
      <x:c r="D239" s="42" t="str">
        <x:v>Join key to metadata/population_definitions.csv; populations must not be pooled or added without a defined bridge.</x:v>
      </x:c>
      <x:c r="E239" s="42" t="str">
        <x:v>string</x:v>
      </x:c>
      <x:c r="F239" s="42"/>
      <x:c r="G239" s="42" t="str">
        <x:v>provenance_or_identifier</x:v>
      </x:c>
      <x:c r="H239" s="42"/>
      <x:c r="I239" s="42"/>
      <x:c r="J239" s="42"/>
      <x:c r="K239" s="42" t="str">
        <x:v>empty CSV field; never implicit zero</x:v>
      </x:c>
      <x:c r="L239" s="42" t="str">
        <x:v>data/observations_long.csv; metadata/raw_to_analytic.csv</x:v>
      </x:c>
    </x:row>
    <x:row r="240" ht="36" customHeight="1">
      <x:c r="A240" s="41" t="str">
        <x:v>price_context</x:v>
      </x:c>
      <x:c r="B240" s="41" t="str">
        <x:v>wpi_available_months</x:v>
      </x:c>
      <x:c r="C240" s="41" t="str">
        <x:v>Wpi available months</x:v>
      </x:c>
      <x:c r="D240" s="41" t="str">
        <x:v>count of available first-of-month observations in frozen calendar year. WPI context has broader geographical/conceptual scope than the bank sample.</x:v>
      </x:c>
      <x:c r="E240" s="41" t="str">
        <x:v>number</x:v>
      </x:c>
      <x:c r="F240" s="41" t="str">
        <x:v>month_count</x:v>
      </x:c>
      <x:c r="G240" s="41" t="str">
        <x:v>measure</x:v>
      </x:c>
      <x:c r="H240" s="41" t="str">
        <x:v>count of available first-of-month observations in frozen calendar year</x:v>
      </x:c>
      <x:c r="I240" s="41"/>
      <x:c r="J240" s="41" t="str">
        <x:v>available_months_in_calendar_year</x:v>
      </x:c>
      <x:c r="K240" s="41" t="str">
        <x:v>empty CSV field; never implicit zero</x:v>
      </x:c>
      <x:c r="L240" s="41" t="str">
        <x:v>data/observations_long.csv; metadata/raw_to_analytic.csv</x:v>
      </x:c>
    </x:row>
    <x:row r="241" ht="50" customHeight="1">
      <x:c r="A241" s="42" t="str">
        <x:v>price_context</x:v>
      </x:c>
      <x:c r="B241" s="42" t="str">
        <x:v>wpi_annual_mean</x:v>
      </x:c>
      <x:c r="C241" s="42" t="str">
        <x:v>Wpi annual mean</x:v>
      </x:c>
      <x:c r="D241" s="42" t="str">
        <x:v>arithmetic mean of twelve monthly first-of-month observations; no partial-year mean. WPI context has broader geographical/conceptual scope than the bank sample.</x:v>
      </x:c>
      <x:c r="E241" s="42" t="str">
        <x:v>number</x:v>
      </x:c>
      <x:c r="F241" s="42" t="str">
        <x:v>index_july_1914_100</x:v>
      </x:c>
      <x:c r="G241" s="42" t="str">
        <x:v>measure</x:v>
      </x:c>
      <x:c r="H241" s="42" t="str">
        <x:v>arithmetic mean of twelve monthly first-of-month observations; no partial-year mean</x:v>
      </x:c>
      <x:c r="I241" s="42"/>
      <x:c r="J241" s="42" t="str">
        <x:v>full_year_monthly_mean</x:v>
      </x:c>
      <x:c r="K241" s="42" t="str">
        <x:v>empty CSV field; never implicit zero</x:v>
      </x:c>
      <x:c r="L241" s="42" t="str">
        <x:v>data/observations_long.csv; metadata/raw_to_analytic.csv</x:v>
      </x:c>
    </x:row>
    <x:row r="242" ht="36" customHeight="1">
      <x:c r="A242" s="41" t="str">
        <x:v>price_context</x:v>
      </x:c>
      <x:c r="B242" s="41" t="str">
        <x:v>wpi_december_first</x:v>
      </x:c>
      <x:c r="C242" s="41" t="str">
        <x:v>Wpi december first</x:v>
      </x:c>
      <x:c r="D242" s="41" t="str">
        <x:v>unchanged source observation; no date interpolation. WPI context has broader geographical/conceptual scope than the bank sample.</x:v>
      </x:c>
      <x:c r="E242" s="41" t="str">
        <x:v>number</x:v>
      </x:c>
      <x:c r="F242" s="41" t="str">
        <x:v>index_july_1914_100</x:v>
      </x:c>
      <x:c r="G242" s="41" t="str">
        <x:v>measure</x:v>
      </x:c>
      <x:c r="H242" s="41" t="str">
        <x:v>unchanged source observation; no date interpolation</x:v>
      </x:c>
      <x:c r="I242" s="41"/>
      <x:c r="J242" s="41" t="str">
        <x:v>december_first_observation</x:v>
      </x:c>
      <x:c r="K242" s="41" t="str">
        <x:v>empty CSV field; never implicit zero</x:v>
      </x:c>
      <x:c r="L242" s="41" t="str">
        <x:v>data/observations_long.csv; metadata/raw_to_analytic.csv</x:v>
      </x:c>
    </x:row>
    <x:row r="243" ht="36" customHeight="1">
      <x:c r="A243" s="42" t="str">
        <x:v>price_context</x:v>
      </x:c>
      <x:c r="B243" s="42" t="str">
        <x:v>wpi_year_end_proxy</x:v>
      </x:c>
      <x:c r="C243" s="42" t="str">
        <x:v>Wpi year end proxy</x:v>
      </x:c>
      <x:c r="D243" s="42" t="str">
        <x:v>unchanged source observation; no date interpolation. WPI context has broader geographical/conceptual scope than the bank sample.</x:v>
      </x:c>
      <x:c r="E243" s="42" t="str">
        <x:v>number</x:v>
      </x:c>
      <x:c r="F243" s="42" t="str">
        <x:v>index_july_1914_100</x:v>
      </x:c>
      <x:c r="G243" s="42" t="str">
        <x:v>measure</x:v>
      </x:c>
      <x:c r="H243" s="42" t="str">
        <x:v>unchanged source observation; no date interpolation</x:v>
      </x:c>
      <x:c r="I243" s="42"/>
      <x:c r="J243" s="42" t="str">
        <x:v>year_end_proxy_following_january_first</x:v>
      </x:c>
      <x:c r="K243" s="42" t="str">
        <x:v>empty CSV field; never implicit zero</x:v>
      </x:c>
      <x:c r="L243" s="42" t="str">
        <x:v>data/observations_long.csv; metadata/raw_to_analytic.csv</x:v>
      </x:c>
    </x:row>
    <x:row r="244" ht="36" customHeight="1">
      <x:c r="A244" s="41" t="str">
        <x:v>price_context</x:v>
      </x:c>
      <x:c r="B244" s="41" t="str">
        <x:v>wpi_year_end_proxy_1929_100</x:v>
      </x:c>
      <x:c r="C244" s="41" t="str">
        <x:v>Wpi year end proxy 1929 100</x:v>
      </x:c>
      <x:c r="D244" s="41" t="str">
        <x:v>100 * following-January-first WPI / 862 (1 January 1930). WPI context has broader geographical/conceptual scope than the bank sample.</x:v>
      </x:c>
      <x:c r="E244" s="41" t="str">
        <x:v>number</x:v>
      </x:c>
      <x:c r="F244" s="41" t="str">
        <x:v>index_end_1929_100</x:v>
      </x:c>
      <x:c r="G244" s="41" t="str">
        <x:v>measure</x:v>
      </x:c>
      <x:c r="H244" s="41" t="str">
        <x:v>100 * following-January-first WPI / 862 (1 January 1930)</x:v>
      </x:c>
      <x:c r="I244" s="41"/>
      <x:c r="J244" s="41" t="str">
        <x:v>year_end_proxy_index_end1929_100</x:v>
      </x:c>
      <x:c r="K244" s="41" t="str">
        <x:v>empty CSV field; never implicit zero</x:v>
      </x:c>
      <x:c r="L244" s="41" t="str">
        <x:v>data/observations_long.csv; metadata/raw_to_analytic.csv</x:v>
      </x:c>
    </x:row>
    <x:row r="245" ht="36" customHeight="1">
      <x:c r="A245" s="42" t="str">
        <x:v>price_context</x:v>
      </x:c>
      <x:c r="B245" s="42" t="str">
        <x:v>cpi_source_index</x:v>
      </x:c>
      <x:c r="C245" s="42" t="str">
        <x:v>Cpi source index</x:v>
      </x:c>
      <x:c r="D245" s="42" t="str">
        <x:v>Unchanged annual CPI workbook value. The original index base and within-year timing are not specified in the frozen provenance extract.</x:v>
      </x:c>
      <x:c r="E245" s="42" t="str">
        <x:v>number</x:v>
      </x:c>
      <x:c r="F245" s="42" t="str">
        <x:v>index_source_base_unspecified</x:v>
      </x:c>
      <x:c r="G245" s="42" t="str">
        <x:v>measure</x:v>
      </x:c>
      <x:c r="H245" s="42"/>
      <x:c r="I245" s="42"/>
      <x:c r="J245" s="42" t="str">
        <x:v>cells.value</x:v>
      </x:c>
      <x:c r="K245" s="42" t="str">
        <x:v>empty CSV field; never implicit zero</x:v>
      </x:c>
      <x:c r="L245" s="42" t="str">
        <x:v>data/observations_long.csv; metadata/raw_to_analytic.csv</x:v>
      </x:c>
    </x:row>
    <x:row r="246" ht="36" customHeight="1">
      <x:c r="A246" s="41" t="str">
        <x:v>price_context</x:v>
      </x:c>
      <x:c r="B246" s="41" t="str">
        <x:v>cpi_1929_100</x:v>
      </x:c>
      <x:c r="C246" s="41" t="str">
        <x:v>Cpi 1929 100</x:v>
      </x:c>
      <x:c r="D246" s="41" t="str">
        <x:v>Release-derived rebasing; 100 times the source index divided by its 1929 value. This does not assert that 1929 was the source publication base.</x:v>
      </x:c>
      <x:c r="E246" s="41" t="str">
        <x:v>number</x:v>
      </x:c>
      <x:c r="F246" s="41" t="str">
        <x:v>index_1929_100</x:v>
      </x:c>
      <x:c r="G246" s="41" t="str">
        <x:v>measure</x:v>
      </x:c>
      <x:c r="H246" s="41" t="str">
        <x:v>100 * cpi_source_index / cpi_source_index[1929]</x:v>
      </x:c>
      <x:c r="I246" s="41"/>
      <x:c r="J246" s="41"/>
      <x:c r="K246" s="41" t="str">
        <x:v>empty CSV field; never implicit zero</x:v>
      </x:c>
      <x:c r="L246" s="41" t="str">
        <x:v>data/observations_long.csv; metadata/raw_to_analytic.csv</x:v>
      </x:c>
    </x:row>
    <x:row r="247" ht="36" customHeight="1">
      <x:c r="A247" s="42" t="str">
        <x:v>price_context</x:v>
      </x:c>
      <x:c r="B247" s="42" t="str">
        <x:v>wpi_proxy_source_date</x:v>
      </x:c>
      <x:c r="C247" s="42" t="str">
        <x:v>Wpi proxy source date</x:v>
      </x:c>
      <x:c r="D247" s="42" t="str">
        <x:v>Date of the following 1 January observation used as a year-end proxy; not a 31 December quotation.</x:v>
      </x:c>
      <x:c r="E247" s="42" t="str">
        <x:v>string</x:v>
      </x:c>
      <x:c r="F247" s="42"/>
      <x:c r="G247" s="42" t="str">
        <x:v>provenance_or_identifier</x:v>
      </x:c>
      <x:c r="H247" s="42"/>
      <x:c r="I247" s="42"/>
      <x:c r="J247" s="42"/>
      <x:c r="K247" s="42" t="str">
        <x:v>empty CSV field; never implicit zero</x:v>
      </x:c>
      <x:c r="L247" s="42" t="str">
        <x:v>data/observations_long.csv; metadata/raw_to_analytic.csv</x:v>
      </x:c>
    </x:row>
    <x:row r="248" ht="36" customHeight="1">
      <x:c r="A248" s="41" t="str">
        <x:v>price_context</x:v>
      </x:c>
      <x:c r="B248" s="41" t="str">
        <x:v>cpi_source_cell</x:v>
      </x:c>
      <x:c r="C248" s="41" t="str">
        <x:v>Cpi source cell</x:v>
      </x:c>
      <x:c r="D248" s="41" t="str">
        <x:v>Cell address in the frozen CPI workbook provenance.</x:v>
      </x:c>
      <x:c r="E248" s="41" t="str">
        <x:v>string</x:v>
      </x:c>
      <x:c r="F248" s="41"/>
      <x:c r="G248" s="41" t="str">
        <x:v>provenance_or_identifier</x:v>
      </x:c>
      <x:c r="H248" s="41"/>
      <x:c r="I248" s="41"/>
      <x:c r="J248" s="41"/>
      <x:c r="K248" s="41" t="str">
        <x:v>empty CSV field; never implicit zero</x:v>
      </x:c>
      <x:c r="L248" s="41" t="str">
        <x:v>data/observations_long.csv; metadata/raw_to_analytic.csv</x:v>
      </x:c>
    </x:row>
    <x:row r="249" ht="36" customHeight="1">
      <x:c r="A249" s="42" t="str">
        <x:v>price_context</x:v>
      </x:c>
      <x:c r="B249" s="42" t="str">
        <x:v>source_ids</x:v>
      </x:c>
      <x:c r="C249" s="42" t="str">
        <x:v>Source ids</x:v>
      </x:c>
      <x:c r="D249" s="42" t="str">
        <x:v>Semicolon-separated source identifiers joining metadata/source_index.csv.</x:v>
      </x:c>
      <x:c r="E249" s="42" t="str">
        <x:v>string</x:v>
      </x:c>
      <x:c r="F249" s="42"/>
      <x:c r="G249" s="42" t="str">
        <x:v>provenance_or_identifier</x:v>
      </x:c>
      <x:c r="H249" s="42"/>
      <x:c r="I249" s="42"/>
      <x:c r="J249" s="42"/>
      <x:c r="K249" s="42" t="str">
        <x:v>empty CSV field; never implicit zero</x:v>
      </x:c>
      <x:c r="L249" s="42" t="str">
        <x:v>data/observations_long.csv; metadata/raw_to_analytic.csv</x:v>
      </x:c>
    </x:row>
    <x:row r="250" ht="36" customHeight="1">
      <x:c r="A250" s="41" t="str">
        <x:v>price_context</x:v>
      </x:c>
      <x:c r="B250" s="41" t="str">
        <x:v>flags</x:v>
      </x:c>
      <x:c r="C250" s="41" t="str">
        <x:v>Flags</x:v>
      </x:c>
      <x:c r="D250" s="41" t="str">
        <x:v>Semicolon-separated source or comparability exception codes; empty means no listed exception, not an assurance of universal comparability.</x:v>
      </x:c>
      <x:c r="E250" s="41" t="str">
        <x:v>string</x:v>
      </x:c>
      <x:c r="F250" s="41"/>
      <x:c r="G250" s="41" t="str">
        <x:v>provenance_or_identifier</x:v>
      </x:c>
      <x:c r="H250" s="41"/>
      <x:c r="I250" s="41"/>
      <x:c r="J250" s="41"/>
      <x:c r="K250" s="41" t="str">
        <x:v>empty CSV field; never implicit zero</x:v>
      </x:c>
      <x:c r="L250" s="41" t="str">
        <x:v>data/observations_long.csv; metadata/raw_to_analytic.csv</x:v>
      </x:c>
    </x:row>
    <x:row r="251" ht="36" customHeight="1">
      <x:c r="A251" s="42" t="str">
        <x:v>institution_crosswalk_1929</x:v>
      </x:c>
      <x:c r="B251" s="42" t="str">
        <x:v>national_source_id</x:v>
      </x:c>
      <x:c r="C251" s="42" t="str">
        <x:v>National source id</x:v>
      </x:c>
      <x:c r="D251" s="42" t="str">
        <x:v>Original national source identifier (National1932 corresponds to source_index NATIONAL_1932).</x:v>
      </x:c>
      <x:c r="E251" s="42" t="str">
        <x:v>string</x:v>
      </x:c>
      <x:c r="F251" s="42"/>
      <x:c r="G251" s="42" t="str">
        <x:v>provenance_or_identifier</x:v>
      </x:c>
      <x:c r="H251" s="42"/>
      <x:c r="I251" s="42"/>
      <x:c r="J251" s="42"/>
      <x:c r="K251" s="42" t="str">
        <x:v>empty CSV field; never implicit zero</x:v>
      </x:c>
      <x:c r="L251" s="42" t="str">
        <x:v>data/observations_long.csv; metadata/raw_to_analytic.csv</x:v>
      </x:c>
    </x:row>
    <x:row r="252" ht="36" customHeight="1">
      <x:c r="A252" s="41" t="str">
        <x:v>institution_crosswalk_1929</x:v>
      </x:c>
      <x:c r="B252" s="41" t="str">
        <x:v>national_printed_page</x:v>
      </x:c>
      <x:c r="C252" s="41" t="str">
        <x:v>National printed page</x:v>
      </x:c>
      <x:c r="D252" s="41" t="str">
        <x:v>Historical printed page of the named national roster.</x:v>
      </x:c>
      <x:c r="E252" s="41" t="str">
        <x:v>integer</x:v>
      </x:c>
      <x:c r="F252" s="41"/>
      <x:c r="G252" s="41" t="str">
        <x:v>provenance_or_identifier</x:v>
      </x:c>
      <x:c r="H252" s="41"/>
      <x:c r="I252" s="41"/>
      <x:c r="J252" s="41"/>
      <x:c r="K252" s="41" t="str">
        <x:v>empty CSV field; never implicit zero</x:v>
      </x:c>
      <x:c r="L252" s="41" t="str">
        <x:v>data/observations_long.csv; metadata/raw_to_analytic.csv</x:v>
      </x:c>
    </x:row>
    <x:row r="253" ht="36" customHeight="1">
      <x:c r="A253" s="42" t="str">
        <x:v>institution_crosswalk_1929</x:v>
      </x:c>
      <x:c r="B253" s="42" t="str">
        <x:v>national_pdf_page_part4</x:v>
      </x:c>
      <x:c r="C253" s="42" t="str">
        <x:v>National pdf page part4</x:v>
      </x:c>
      <x:c r="D253" s="42" t="str">
        <x:v>One-based PDF page in the supplied part-four national file.</x:v>
      </x:c>
      <x:c r="E253" s="42" t="str">
        <x:v>integer</x:v>
      </x:c>
      <x:c r="F253" s="42"/>
      <x:c r="G253" s="42" t="str">
        <x:v>provenance_or_identifier</x:v>
      </x:c>
      <x:c r="H253" s="42"/>
      <x:c r="I253" s="42"/>
      <x:c r="J253" s="42"/>
      <x:c r="K253" s="42" t="str">
        <x:v>empty CSV field; never implicit zero</x:v>
      </x:c>
      <x:c r="L253" s="42" t="str">
        <x:v>data/observations_long.csv; metadata/raw_to_analytic.csv</x:v>
      </x:c>
    </x:row>
    <x:row r="254" ht="36" customHeight="1">
      <x:c r="A254" s="41" t="str">
        <x:v>institution_crosswalk_1929</x:v>
      </x:c>
      <x:c r="B254" s="41" t="str">
        <x:v>national_table</x:v>
      </x:c>
      <x:c r="C254" s="41" t="str">
        <x:v>National table</x:v>
      </x:c>
      <x:c r="D254" s="41" t="str">
        <x:v>Historical national table and legal-form grouping.</x:v>
      </x:c>
      <x:c r="E254" s="41" t="str">
        <x:v>string</x:v>
      </x:c>
      <x:c r="F254" s="41"/>
      <x:c r="G254" s="41" t="str">
        <x:v>provenance_or_identifier</x:v>
      </x:c>
      <x:c r="H254" s="41"/>
      <x:c r="I254" s="41"/>
      <x:c r="J254" s="41"/>
      <x:c r="K254" s="41" t="str">
        <x:v>empty CSV field; never implicit zero</x:v>
      </x:c>
      <x:c r="L254" s="41" t="str">
        <x:v>data/observations_long.csv; metadata/raw_to_analytic.csv</x:v>
      </x:c>
    </x:row>
    <x:row r="255" ht="36" customHeight="1">
      <x:c r="A255" s="42" t="str">
        <x:v>institution_crosswalk_1929</x:v>
      </x:c>
      <x:c r="B255" s="42" t="str">
        <x:v>national_year</x:v>
      </x:c>
      <x:c r="C255" s="42" t="str">
        <x:v>National year</x:v>
      </x:c>
      <x:c r="D255" s="42" t="str">
        <x:v>Year of the national roster, always 1929.</x:v>
      </x:c>
      <x:c r="E255" s="42" t="str">
        <x:v>integer</x:v>
      </x:c>
      <x:c r="F255" s="42"/>
      <x:c r="G255" s="42" t="str">
        <x:v>provenance_or_identifier</x:v>
      </x:c>
      <x:c r="H255" s="42"/>
      <x:c r="I255" s="42"/>
      <x:c r="J255" s="42"/>
      <x:c r="K255" s="42" t="str">
        <x:v>empty CSV field; never implicit zero</x:v>
      </x:c>
      <x:c r="L255" s="42" t="str">
        <x:v>data/observations_long.csv; metadata/raw_to_analytic.csv</x:v>
      </x:c>
    </x:row>
    <x:row r="256" ht="36" customHeight="1">
      <x:c r="A256" s="41" t="str">
        <x:v>institution_crosswalk_1929</x:v>
      </x:c>
      <x:c r="B256" s="41" t="str">
        <x:v>national_row</x:v>
      </x:c>
      <x:c r="C256" s="41" t="str">
        <x:v>National row</x:v>
      </x:c>
      <x:c r="D256" s="41" t="str">
        <x:v>Original numbered institution row in national table X5.</x:v>
      </x:c>
      <x:c r="E256" s="41" t="str">
        <x:v>integer</x:v>
      </x:c>
      <x:c r="F256" s="41"/>
      <x:c r="G256" s="41" t="str">
        <x:v>provenance_or_identifier</x:v>
      </x:c>
      <x:c r="H256" s="41"/>
      <x:c r="I256" s="41"/>
      <x:c r="J256" s="41"/>
      <x:c r="K256" s="41" t="str">
        <x:v>empty CSV field; never implicit zero</x:v>
      </x:c>
      <x:c r="L256" s="41" t="str">
        <x:v>data/observations_long.csv; metadata/raw_to_analytic.csv</x:v>
      </x:c>
    </x:row>
    <x:row r="257" ht="36" customHeight="1">
      <x:c r="A257" s="42" t="str">
        <x:v>institution_crosswalk_1929</x:v>
      </x:c>
      <x:c r="B257" s="42" t="str">
        <x:v>national_bank_id</x:v>
      </x:c>
      <x:c r="C257" s="42" t="str">
        <x:v>National bank id</x:v>
      </x:c>
      <x:c r="D257" s="42" t="str">
        <x:v>Stable short identifier for a national-roster institution; distinct from the panel bank_id.</x:v>
      </x:c>
      <x:c r="E257" s="42" t="str">
        <x:v>string</x:v>
      </x:c>
      <x:c r="F257" s="42"/>
      <x:c r="G257" s="42" t="str">
        <x:v>provenance_or_identifier</x:v>
      </x:c>
      <x:c r="H257" s="42"/>
      <x:c r="I257" s="42"/>
      <x:c r="J257" s="42"/>
      <x:c r="K257" s="42" t="str">
        <x:v>empty CSV field; never implicit zero</x:v>
      </x:c>
      <x:c r="L257" s="42" t="str">
        <x:v>data/observations_long.csv; metadata/raw_to_analytic.csv</x:v>
      </x:c>
    </x:row>
    <x:row r="258" ht="36" customHeight="1">
      <x:c r="A258" s="41" t="str">
        <x:v>institution_crosswalk_1929</x:v>
      </x:c>
      <x:c r="B258" s="41" t="str">
        <x:v>national_bank_name</x:v>
      </x:c>
      <x:c r="C258" s="41" t="str">
        <x:v>National bank name</x:v>
      </x:c>
      <x:c r="D258" s="41" t="str">
        <x:v>Name printed/transcribed in the national 1929 roster.</x:v>
      </x:c>
      <x:c r="E258" s="41" t="str">
        <x:v>string</x:v>
      </x:c>
      <x:c r="F258" s="41"/>
      <x:c r="G258" s="41" t="str">
        <x:v>provenance_or_identifier</x:v>
      </x:c>
      <x:c r="H258" s="41"/>
      <x:c r="I258" s="41"/>
      <x:c r="J258" s="41"/>
      <x:c r="K258" s="41" t="str">
        <x:v>empty CSV field; never implicit zero</x:v>
      </x:c>
      <x:c r="L258" s="41" t="str">
        <x:v>data/observations_long.csv; metadata/raw_to_analytic.csv</x:v>
      </x:c>
    </x:row>
    <x:row r="259" ht="36" customHeight="1">
      <x:c r="A259" s="42" t="str">
        <x:v>institution_crosswalk_1929</x:v>
      </x:c>
      <x:c r="B259" s="42" t="str">
        <x:v>national_headquarters</x:v>
      </x:c>
      <x:c r="C259" s="42" t="str">
        <x:v>National headquarters</x:v>
      </x:c>
      <x:c r="D259" s="42" t="str">
        <x:v>Headquarters location in the national roster; not the location of every asset or branch.</x:v>
      </x:c>
      <x:c r="E259" s="42" t="str">
        <x:v>string</x:v>
      </x:c>
      <x:c r="F259" s="42"/>
      <x:c r="G259" s="42" t="str">
        <x:v>provenance_or_identifier</x:v>
      </x:c>
      <x:c r="H259" s="42"/>
      <x:c r="I259" s="42"/>
      <x:c r="J259" s="42"/>
      <x:c r="K259" s="42" t="str">
        <x:v>empty CSV field; never implicit zero</x:v>
      </x:c>
      <x:c r="L259" s="42" t="str">
        <x:v>data/observations_long.csv; metadata/raw_to_analytic.csv</x:v>
      </x:c>
    </x:row>
    <x:row r="260" ht="36" customHeight="1">
      <x:c r="A260" s="41" t="str">
        <x:v>institution_crosswalk_1929</x:v>
      </x:c>
      <x:c r="B260" s="41" t="str">
        <x:v>national_legal_classification</x:v>
      </x:c>
      <x:c r="C260" s="41" t="str">
        <x:v>National legal classification</x:v>
      </x:c>
      <x:c r="D260" s="41" t="str">
        <x:v>Joint-stock classification in national table X5.</x:v>
      </x:c>
      <x:c r="E260" s="41" t="str">
        <x:v>string</x:v>
      </x:c>
      <x:c r="F260" s="41"/>
      <x:c r="G260" s="41" t="str">
        <x:v>provenance_or_identifier</x:v>
      </x:c>
      <x:c r="H260" s="41"/>
      <x:c r="I260" s="41"/>
      <x:c r="J260" s="41"/>
      <x:c r="K260" s="41" t="str">
        <x:v>empty CSV field; never implicit zero</x:v>
      </x:c>
      <x:c r="L260" s="41" t="str">
        <x:v>data/observations_long.csv; metadata/raw_to_analytic.csv</x:v>
      </x:c>
    </x:row>
    <x:row r="261" ht="36" customHeight="1">
      <x:c r="A261" s="42" t="str">
        <x:v>institution_crosswalk_1929</x:v>
      </x:c>
      <x:c r="B261" s="42" t="str">
        <x:v>institution_type_note</x:v>
      </x:c>
      <x:c r="C261" s="42" t="str">
        <x:v>Institution type note</x:v>
      </x:c>
      <x:c r="D261" s="42" t="str">
        <x:v>Verified functional/type qualification; no further subtype is inferred when unestablished.</x:v>
      </x:c>
      <x:c r="E261" s="42" t="str">
        <x:v>string</x:v>
      </x:c>
      <x:c r="F261" s="42"/>
      <x:c r="G261" s="42" t="str">
        <x:v>provenance_or_identifier</x:v>
      </x:c>
      <x:c r="H261" s="42"/>
      <x:c r="I261" s="42"/>
      <x:c r="J261" s="42"/>
      <x:c r="K261" s="42" t="str">
        <x:v>empty CSV field; never implicit zero</x:v>
      </x:c>
      <x:c r="L261" s="42" t="str">
        <x:v>data/observations_long.csv; metadata/raw_to_analytic.csv</x:v>
      </x:c>
    </x:row>
    <x:row r="262" ht="36" customHeight="1">
      <x:c r="A262" s="41" t="str">
        <x:v>institution_crosswalk_1929</x:v>
      </x:c>
      <x:c r="B262" s="41" t="str">
        <x:v>included_in_1933_1937_panel</x:v>
      </x:c>
      <x:c r="C262" s="41" t="str">
        <x:v>Included in 1933 1937 panel</x:v>
      </x:c>
      <x:c r="D262" s="41" t="str">
        <x:v>Whether this 1929 institution has the explicit named counterpart in the fourteen-bank panel.</x:v>
      </x:c>
      <x:c r="E262" s="41" t="str">
        <x:v>boolean</x:v>
      </x:c>
      <x:c r="F262" s="41"/>
      <x:c r="G262" s="41" t="str">
        <x:v>provenance_or_identifier</x:v>
      </x:c>
      <x:c r="H262" s="41"/>
      <x:c r="I262" s="41"/>
      <x:c r="J262" s="41"/>
      <x:c r="K262" s="41" t="str">
        <x:v>empty CSV field; never implicit zero</x:v>
      </x:c>
      <x:c r="L262" s="41" t="str">
        <x:v>data/observations_long.csv; metadata/raw_to_analytic.csv</x:v>
      </x:c>
    </x:row>
    <x:row r="263" ht="36" customHeight="1">
      <x:c r="A263" s="42" t="str">
        <x:v>institution_crosswalk_1929</x:v>
      </x:c>
      <x:c r="B263" s="42" t="str">
        <x:v>panel_bank_id</x:v>
      </x:c>
      <x:c r="C263" s="42" t="str">
        <x:v>Panel bank id</x:v>
      </x:c>
      <x:c r="D263" s="42" t="str">
        <x:v>Matched panel bank identifier; empty when no identity link is established.</x:v>
      </x:c>
      <x:c r="E263" s="42" t="str">
        <x:v>string</x:v>
      </x:c>
      <x:c r="F263" s="42"/>
      <x:c r="G263" s="42" t="str">
        <x:v>provenance_or_identifier</x:v>
      </x:c>
      <x:c r="H263" s="42"/>
      <x:c r="I263" s="42"/>
      <x:c r="J263" s="42"/>
      <x:c r="K263" s="42" t="str">
        <x:v>empty CSV field; never implicit zero</x:v>
      </x:c>
      <x:c r="L263" s="42" t="str">
        <x:v>data/observations_long.csv; metadata/raw_to_analytic.csv</x:v>
      </x:c>
    </x:row>
    <x:row r="264" ht="36" customHeight="1">
      <x:c r="A264" s="41" t="str">
        <x:v>institution_crosswalk_1929</x:v>
      </x:c>
      <x:c r="B264" s="41" t="str">
        <x:v>panel_bank_name</x:v>
      </x:c>
      <x:c r="C264" s="41" t="str">
        <x:v>Panel bank name</x:v>
      </x:c>
      <x:c r="D264" s="41" t="str">
        <x:v>Matched canonical panel name; empty for unmatched national institutions.</x:v>
      </x:c>
      <x:c r="E264" s="41" t="str">
        <x:v>string</x:v>
      </x:c>
      <x:c r="F264" s="41"/>
      <x:c r="G264" s="41" t="str">
        <x:v>provenance_or_identifier</x:v>
      </x:c>
      <x:c r="H264" s="41"/>
      <x:c r="I264" s="41"/>
      <x:c r="J264" s="41"/>
      <x:c r="K264" s="41" t="str">
        <x:v>empty CSV field; never implicit zero</x:v>
      </x:c>
      <x:c r="L264" s="41" t="str">
        <x:v>data/observations_long.csv; metadata/raw_to_analytic.csv</x:v>
      </x:c>
    </x:row>
    <x:row r="265" ht="36" customHeight="1">
      <x:c r="A265" s="42" t="str">
        <x:v>institution_crosswalk_1929</x:v>
      </x:c>
      <x:c r="B265" s="42" t="str">
        <x:v>match_class</x:v>
      </x:c>
      <x:c r="C265" s="42" t="str">
        <x:v>Match class</x:v>
      </x:c>
      <x:c r="D265" s="42" t="str">
        <x:v>Exact canonical name, geographic qualifier, documented rename or unmatched separate institution.</x:v>
      </x:c>
      <x:c r="E265" s="42" t="str">
        <x:v>string</x:v>
      </x:c>
      <x:c r="F265" s="42"/>
      <x:c r="G265" s="42" t="str">
        <x:v>provenance_or_identifier</x:v>
      </x:c>
      <x:c r="H265" s="42"/>
      <x:c r="I265" s="42"/>
      <x:c r="J265" s="42"/>
      <x:c r="K265" s="42" t="str">
        <x:v>empty CSV field; never implicit zero</x:v>
      </x:c>
      <x:c r="L265" s="42" t="str">
        <x:v>data/observations_long.csv; metadata/raw_to_analytic.csv</x:v>
      </x:c>
    </x:row>
    <x:row r="266" ht="36" customHeight="1">
      <x:c r="A266" s="41" t="str">
        <x:v>institution_crosswalk_1929</x:v>
      </x:c>
      <x:c r="B266" s="41" t="str">
        <x:v>identity_basis</x:v>
      </x:c>
      <x:c r="C266" s="41" t="str">
        <x:v>Identity basis</x:v>
      </x:c>
      <x:c r="D266" s="41" t="str">
        <x:v>Evidence supporting an institution identity match, without assuming an unchanged business perimeter.</x:v>
      </x:c>
      <x:c r="E266" s="41" t="str">
        <x:v>string</x:v>
      </x:c>
      <x:c r="F266" s="41"/>
      <x:c r="G266" s="41" t="str">
        <x:v>provenance_or_identifier</x:v>
      </x:c>
      <x:c r="H266" s="41"/>
      <x:c r="I266" s="41"/>
      <x:c r="J266" s="41"/>
      <x:c r="K266" s="41" t="str">
        <x:v>empty CSV field; never implicit zero</x:v>
      </x:c>
      <x:c r="L266" s="41" t="str">
        <x:v>data/observations_long.csv; metadata/raw_to_analytic.csv</x:v>
      </x:c>
    </x:row>
    <x:row r="267" ht="36" customHeight="1">
      <x:c r="A267" s="42" t="str">
        <x:v>institution_crosswalk_1929</x:v>
      </x:c>
      <x:c r="B267" s="42" t="str">
        <x:v>selection_status</x:v>
      </x:c>
      <x:c r="C267" s="42" t="str">
        <x:v>Selection status</x:v>
      </x:c>
      <x:c r="D267" s="42" t="str">
        <x:v>Availability/selection reason; missing handbook coverage does not establish failure or absorption.</x:v>
      </x:c>
      <x:c r="E267" s="42" t="str">
        <x:v>string</x:v>
      </x:c>
      <x:c r="F267" s="42"/>
      <x:c r="G267" s="42" t="str">
        <x:v>provenance_or_identifier</x:v>
      </x:c>
      <x:c r="H267" s="42"/>
      <x:c r="I267" s="42"/>
      <x:c r="J267" s="42"/>
      <x:c r="K267" s="42" t="str">
        <x:v>empty CSV field; never implicit zero</x:v>
      </x:c>
      <x:c r="L267" s="42" t="str">
        <x:v>data/observations_long.csv; metadata/raw_to_analytic.csv</x:v>
      </x:c>
    </x:row>
    <x:row r="268" ht="36" customHeight="1">
      <x:c r="A268" s="41" t="str">
        <x:v>institution_crosswalk_1929</x:v>
      </x:c>
      <x:c r="B268" s="41" t="str">
        <x:v>kaspar_identity_pdf_pages</x:v>
      </x:c>
      <x:c r="C268" s="41" t="str">
        <x:v>Kaspar identity pdf pages</x:v>
      </x:c>
      <x:c r="D268" s="41" t="str">
        <x:v>Digital handbook pages supporting identities or, for unmatched banks, contextual mentions.</x:v>
      </x:c>
      <x:c r="E268" s="41" t="str">
        <x:v>string</x:v>
      </x:c>
      <x:c r="F268" s="41"/>
      <x:c r="G268" s="41" t="str">
        <x:v>provenance_or_identifier</x:v>
      </x:c>
      <x:c r="H268" s="41"/>
      <x:c r="I268" s="41"/>
      <x:c r="J268" s="41"/>
      <x:c r="K268" s="41" t="str">
        <x:v>empty CSV field; never implicit zero</x:v>
      </x:c>
      <x:c r="L268" s="41" t="str">
        <x:v>data/observations_long.csv; metadata/raw_to_analytic.csv</x:v>
      </x:c>
    </x:row>
    <x:row r="269" ht="36" customHeight="1">
      <x:c r="A269" s="42" t="str">
        <x:v>institution_crosswalk_1929</x:v>
      </x:c>
      <x:c r="B269" s="42" t="str">
        <x:v>kaspar_asset_pdf_page</x:v>
      </x:c>
      <x:c r="C269" s="42" t="str">
        <x:v>Kaspar asset pdf page</x:v>
      </x:c>
      <x:c r="D269" s="42" t="str">
        <x:v>Digital handbook page of matched bank asset accounts.</x:v>
      </x:c>
      <x:c r="E269" s="42" t="str">
        <x:v>integer</x:v>
      </x:c>
      <x:c r="F269" s="42"/>
      <x:c r="G269" s="42" t="str">
        <x:v>provenance_or_identifier</x:v>
      </x:c>
      <x:c r="H269" s="42"/>
      <x:c r="I269" s="42"/>
      <x:c r="J269" s="42"/>
      <x:c r="K269" s="42" t="str">
        <x:v>empty CSV field; never implicit zero</x:v>
      </x:c>
      <x:c r="L269" s="42" t="str">
        <x:v>data/observations_long.csv; metadata/raw_to_analytic.csv</x:v>
      </x:c>
    </x:row>
    <x:row r="270" ht="36" customHeight="1">
      <x:c r="A270" s="41" t="str">
        <x:v>institution_crosswalk_1929</x:v>
      </x:c>
      <x:c r="B270" s="41" t="str">
        <x:v>kaspar_liability_pdf_page</x:v>
      </x:c>
      <x:c r="C270" s="41" t="str">
        <x:v>Kaspar liability pdf page</x:v>
      </x:c>
      <x:c r="D270" s="41" t="str">
        <x:v>Digital handbook page of matched bank liability accounts.</x:v>
      </x:c>
      <x:c r="E270" s="41" t="str">
        <x:v>integer</x:v>
      </x:c>
      <x:c r="F270" s="41"/>
      <x:c r="G270" s="41" t="str">
        <x:v>provenance_or_identifier</x:v>
      </x:c>
      <x:c r="H270" s="41"/>
      <x:c r="I270" s="41"/>
      <x:c r="J270" s="41"/>
      <x:c r="K270" s="41" t="str">
        <x:v>empty CSV field; never implicit zero</x:v>
      </x:c>
      <x:c r="L270" s="41" t="str">
        <x:v>data/observations_long.csv; metadata/raw_to_analytic.csv</x:v>
      </x:c>
    </x:row>
    <x:row r="271" ht="36" customHeight="1">
      <x:c r="A271" s="42" t="str">
        <x:v>institution_crosswalk_1929</x:v>
      </x:c>
      <x:c r="B271" s="42" t="str">
        <x:v>kaspar_income_pdf_page</x:v>
      </x:c>
      <x:c r="C271" s="42" t="str">
        <x:v>Kaspar income pdf page</x:v>
      </x:c>
      <x:c r="D271" s="42" t="str">
        <x:v>Digital handbook page of matched bank income accounts.</x:v>
      </x:c>
      <x:c r="E271" s="42" t="str">
        <x:v>integer</x:v>
      </x:c>
      <x:c r="F271" s="42"/>
      <x:c r="G271" s="42" t="str">
        <x:v>provenance_or_identifier</x:v>
      </x:c>
      <x:c r="H271" s="42"/>
      <x:c r="I271" s="42"/>
      <x:c r="J271" s="42"/>
      <x:c r="K271" s="42" t="str">
        <x:v>empty CSV field; never implicit zero</x:v>
      </x:c>
      <x:c r="L271" s="42" t="str">
        <x:v>data/observations_long.csv; metadata/raw_to_analytic.csv</x:v>
      </x:c>
    </x:row>
    <x:row r="272" ht="36" customHeight="1">
      <x:c r="A272" s="41" t="str">
        <x:v>institution_crosswalk_1929</x:v>
      </x:c>
      <x:c r="B272" s="41" t="str">
        <x:v>history_or_scope_note</x:v>
      </x:c>
      <x:c r="C272" s="41" t="str">
        <x:v>History or scope note</x:v>
      </x:c>
      <x:c r="D272" s="41" t="str">
        <x:v>Dated name, merger, mandate or affiliate qualification.</x:v>
      </x:c>
      <x:c r="E272" s="41" t="str">
        <x:v>string</x:v>
      </x:c>
      <x:c r="F272" s="41"/>
      <x:c r="G272" s="41" t="str">
        <x:v>provenance_or_identifier</x:v>
      </x:c>
      <x:c r="H272" s="41"/>
      <x:c r="I272" s="41"/>
      <x:c r="J272" s="41"/>
      <x:c r="K272" s="41" t="str">
        <x:v>empty CSV field; never implicit zero</x:v>
      </x:c>
      <x:c r="L272" s="41" t="str">
        <x:v>data/observations_long.csv; metadata/raw_to_analytic.csv</x:v>
      </x:c>
    </x:row>
    <x:row r="273" ht="36" customHeight="1">
      <x:c r="A273" s="42" t="str">
        <x:v>institution_crosswalk_1929</x:v>
      </x:c>
      <x:c r="B273" s="42" t="str">
        <x:v>later_outcome_status</x:v>
      </x:c>
      <x:c r="C273" s="42" t="str">
        <x:v>Later outcome status</x:v>
      </x:c>
      <x:c r="D273" s="42" t="str">
        <x:v>What the consulted sources establish about later institutional status; unestablished outcomes remain explicit.</x:v>
      </x:c>
      <x:c r="E273" s="42" t="str">
        <x:v>string</x:v>
      </x:c>
      <x:c r="F273" s="42"/>
      <x:c r="G273" s="42" t="str">
        <x:v>provenance_or_identifier</x:v>
      </x:c>
      <x:c r="H273" s="42"/>
      <x:c r="I273" s="42"/>
      <x:c r="J273" s="42"/>
      <x:c r="K273" s="42" t="str">
        <x:v>empty CSV field; never implicit zero</x:v>
      </x:c>
      <x:c r="L273" s="42" t="str">
        <x:v>data/observations_long.csv; metadata/raw_to_analytic.csv</x:v>
      </x:c>
    </x:row>
    <x:row r="274" ht="36" customHeight="1">
      <x:c r="A274" s="41" t="str">
        <x:v>institution_crosswalk_1929</x:v>
      </x:c>
      <x:c r="B274" s="41" t="str">
        <x:v>related_panel_bank_id_not_identity</x:v>
      </x:c>
      <x:c r="C274" s="41" t="str">
        <x:v>Related panel bank id not identity</x:v>
      </x:c>
      <x:c r="D274" s="41" t="str">
        <x:v>Related affiliate/supporting bank; expressly not an institution identity or merger mapping.</x:v>
      </x:c>
      <x:c r="E274" s="41" t="str">
        <x:v>string</x:v>
      </x:c>
      <x:c r="F274" s="41"/>
      <x:c r="G274" s="41" t="str">
        <x:v>provenance_or_identifier</x:v>
      </x:c>
      <x:c r="H274" s="41"/>
      <x:c r="I274" s="41"/>
      <x:c r="J274" s="41"/>
      <x:c r="K274" s="41" t="str">
        <x:v>empty CSV field; never implicit zero</x:v>
      </x:c>
      <x:c r="L274" s="41" t="str">
        <x:v>data/observations_long.csv; metadata/raw_to_analytic.csv</x:v>
      </x:c>
    </x:row>
    <x:row r="275" ht="36" customHeight="1">
      <x:c r="A275" s="42" t="str">
        <x:v>institution_crosswalk_1929</x:v>
      </x:c>
      <x:c r="B275" s="42" t="str">
        <x:v>lon_1929_link</x:v>
      </x:c>
      <x:c r="C275" s="42" t="str">
        <x:v>Lon 1929 link</x:v>
      </x:c>
      <x:c r="D275" s="42" t="str">
        <x:v>Scope and rounded-control support for the 1929 League population link.</x:v>
      </x:c>
      <x:c r="E275" s="42" t="str">
        <x:v>string</x:v>
      </x:c>
      <x:c r="F275" s="42"/>
      <x:c r="G275" s="42" t="str">
        <x:v>provenance_or_identifier</x:v>
      </x:c>
      <x:c r="H275" s="42"/>
      <x:c r="I275" s="42"/>
      <x:c r="J275" s="42"/>
      <x:c r="K275" s="42" t="str">
        <x:v>empty CSV field; never implicit zero</x:v>
      </x:c>
      <x:c r="L275" s="42" t="str">
        <x:v>data/observations_long.csv; metadata/raw_to_analytic.csv</x:v>
      </x:c>
    </x:row>
    <x:row r="276" ht="36" customHeight="1">
      <x:c r="A276" s="41" t="str">
        <x:v>institution_crosswalk_1929</x:v>
      </x:c>
      <x:c r="B276" s="41" t="str">
        <x:v>lon_1933_1937_membership</x:v>
      </x:c>
      <x:c r="C276" s="41" t="str">
        <x:v>Lon 1933 1937 membership</x:v>
      </x:c>
      <x:c r="D276" s="41" t="str">
        <x:v>Later individual League membership remains unestablished; equal counts do not prove membership.</x:v>
      </x:c>
      <x:c r="E276" s="41" t="str">
        <x:v>string</x:v>
      </x:c>
      <x:c r="F276" s="41"/>
      <x:c r="G276" s="41" t="str">
        <x:v>provenance_or_identifier</x:v>
      </x:c>
      <x:c r="H276" s="41"/>
      <x:c r="I276" s="41"/>
      <x:c r="J276" s="41"/>
      <x:c r="K276" s="41" t="str">
        <x:v>empty CSV field; never implicit zero</x:v>
      </x:c>
      <x:c r="L276" s="41" t="str">
        <x:v>data/observations_long.csv; metadata/raw_to_analytic.csv</x:v>
      </x:c>
    </x:row>
    <x:row r="277" ht="36" customHeight="1">
      <x:c r="A277" s="42" t="str">
        <x:v>institution_crosswalk_1929</x:v>
      </x:c>
      <x:c r="B277" s="42" t="str">
        <x:v>lon_named_narrative_reference</x:v>
      </x:c>
      <x:c r="C277" s="42" t="str">
        <x:v>Lon named narrative reference</x:v>
      </x:c>
      <x:c r="D277" s="42" t="str">
        <x:v>League narrative naming the institution, where available; not an annual roster.</x:v>
      </x:c>
      <x:c r="E277" s="42" t="str">
        <x:v>string</x:v>
      </x:c>
      <x:c r="F277" s="42"/>
      <x:c r="G277" s="42" t="str">
        <x:v>provenance_or_identifier</x:v>
      </x:c>
      <x:c r="H277" s="42"/>
      <x:c r="I277" s="42"/>
      <x:c r="J277" s="42"/>
      <x:c r="K277" s="42" t="str">
        <x:v>empty CSV field; never implicit zero</x:v>
      </x:c>
      <x:c r="L277" s="42" t="str">
        <x:v>data/observations_long.csv; metadata/raw_to_analytic.csv</x:v>
      </x:c>
    </x:row>
    <x:row r="278" ht="36" customHeight="1">
      <x:c r="A278" s="41" t="str">
        <x:v>institution_crosswalk_1929</x:v>
      </x:c>
      <x:c r="B278" s="41" t="str">
        <x:v>national_amounts_unit</x:v>
      </x:c>
      <x:c r="C278" s="41" t="str">
        <x:v>National amounts unit</x:v>
      </x:c>
      <x:c r="D278" s="41" t="str">
        <x:v>Original national monetary unit; numeric crosswalk columns remain thousand Kč.</x:v>
      </x:c>
      <x:c r="E278" s="41" t="str">
        <x:v>string</x:v>
      </x:c>
      <x:c r="F278" s="41"/>
      <x:c r="G278" s="41" t="str">
        <x:v>provenance_or_identifier</x:v>
      </x:c>
      <x:c r="H278" s="41"/>
      <x:c r="I278" s="41"/>
      <x:c r="J278" s="41"/>
      <x:c r="K278" s="41" t="str">
        <x:v>empty CSV field; never implicit zero</x:v>
      </x:c>
      <x:c r="L278" s="41" t="str">
        <x:v>data/observations_long.csv; metadata/raw_to_analytic.csv</x:v>
      </x:c>
    </x:row>
    <x:row r="279" ht="36" customHeight="1">
      <x:c r="A279" s="42" t="str">
        <x:v>institution_crosswalk_1929</x:v>
      </x:c>
      <x:c r="B279" s="42" t="str">
        <x:v>source_edition_note</x:v>
      </x:c>
      <x:c r="C279" s="42" t="str">
        <x:v>Source edition note</x:v>
      </x:c>
      <x:c r="D279" s="42" t="str">
        <x:v>Edition/provenance qualification across the national scan and handbook retyping.</x:v>
      </x:c>
      <x:c r="E279" s="42" t="str">
        <x:v>string</x:v>
      </x:c>
      <x:c r="F279" s="42"/>
      <x:c r="G279" s="42" t="str">
        <x:v>provenance_or_identifier</x:v>
      </x:c>
      <x:c r="H279" s="42"/>
      <x:c r="I279" s="42"/>
      <x:c r="J279" s="42"/>
      <x:c r="K279" s="42" t="str">
        <x:v>empty CSV field; never implicit zero</x:v>
      </x:c>
      <x:c r="L279" s="42" t="str">
        <x:v>data/observations_long.csv; metadata/raw_to_analytic.csv</x:v>
      </x:c>
    </x:row>
    <x:row r="280" ht="36" customHeight="1">
      <x:c r="A280" s="41" t="str">
        <x:v>institution_crosswalk_1929</x:v>
      </x:c>
      <x:c r="B280" s="41" t="str">
        <x:v>paid_capital_thousand_kc</x:v>
      </x:c>
      <x:c r="C280" s="41" t="str">
        <x:v>Paid capital thousand kc</x:v>
      </x:c>
      <x:c r="D280" s="41" t="str">
        <x:v>Paid share capital in national table X5.</x:v>
      </x:c>
      <x:c r="E280" s="41" t="str">
        <x:v>number</x:v>
      </x:c>
      <x:c r="F280" s="41" t="str">
        <x:v>thousand_kc_nominal</x:v>
      </x:c>
      <x:c r="G280" s="41" t="str">
        <x:v>measure</x:v>
      </x:c>
      <x:c r="H280" s="41"/>
      <x:c r="I280" s="41"/>
      <x:c r="J280" s="41" t="str">
        <x:v>paid_capital_thousand_kc</x:v>
      </x:c>
      <x:c r="K280" s="41" t="str">
        <x:v>empty CSV field; never implicit zero</x:v>
      </x:c>
      <x:c r="L280" s="41" t="str">
        <x:v>data/observations_long.csv; metadata/raw_to_analytic.csv</x:v>
      </x:c>
    </x:row>
    <x:row r="281" ht="36" customHeight="1">
      <x:c r="A281" s="42" t="str">
        <x:v>institution_crosswalk_1929</x:v>
      </x:c>
      <x:c r="B281" s="42" t="str">
        <x:v>loss_cover_reserves_thousand_kc</x:v>
      </x:c>
      <x:c r="C281" s="42" t="str">
        <x:v>Loss cover reserves thousand kc</x:v>
      </x:c>
      <x:c r="D281" s="42" t="str">
        <x:v>Loss-covering reserve funds in X5, excluding earmarked nonloss funds.</x:v>
      </x:c>
      <x:c r="E281" s="42" t="str">
        <x:v>number</x:v>
      </x:c>
      <x:c r="F281" s="42" t="str">
        <x:v>thousand_kc_nominal</x:v>
      </x:c>
      <x:c r="G281" s="42" t="str">
        <x:v>measure</x:v>
      </x:c>
      <x:c r="H281" s="42"/>
      <x:c r="I281" s="42"/>
      <x:c r="J281" s="42" t="str">
        <x:v>loss_cover_reserves_thousand_kc</x:v>
      </x:c>
      <x:c r="K281" s="42" t="str">
        <x:v>empty CSV field; never implicit zero</x:v>
      </x:c>
      <x:c r="L281" s="42" t="str">
        <x:v>data/observations_long.csv; metadata/raw_to_analytic.csv</x:v>
      </x:c>
    </x:row>
    <x:row r="282" ht="36" customHeight="1">
      <x:c r="A282" s="41" t="str">
        <x:v>institution_crosswalk_1929</x:v>
      </x:c>
      <x:c r="B282" s="41" t="str">
        <x:v>book_and_cash_certificate_deposits_thousand_kc</x:v>
      </x:c>
      <x:c r="C282" s="41" t="str">
        <x:v>Book and cash certificate deposits thousand kc</x:v>
      </x:c>
      <x:c r="D282" s="41" t="str">
        <x:v>Passbook and cash-certificate deposits, not total deposits in the League reclassification.</x:v>
      </x:c>
      <x:c r="E282" s="41" t="str">
        <x:v>number</x:v>
      </x:c>
      <x:c r="F282" s="41" t="str">
        <x:v>thousand_kc_nominal</x:v>
      </x:c>
      <x:c r="G282" s="41" t="str">
        <x:v>measure</x:v>
      </x:c>
      <x:c r="H282" s="41"/>
      <x:c r="I282" s="41"/>
      <x:c r="J282" s="41" t="str">
        <x:v>book_and_cash_certificate_deposits_thousand_kc</x:v>
      </x:c>
      <x:c r="K282" s="41" t="str">
        <x:v>empty CSV field; never implicit zero</x:v>
      </x:c>
      <x:c r="L282" s="41" t="str">
        <x:v>data/observations_long.csv; metadata/raw_to_analytic.csv</x:v>
      </x:c>
    </x:row>
    <x:row r="283" ht="36" customHeight="1">
      <x:c r="A283" s="42" t="str">
        <x:v>institution_crosswalk_1929</x:v>
      </x:c>
      <x:c r="B283" s="42" t="str">
        <x:v>creditors_thousand_kc</x:v>
      </x:c>
      <x:c r="C283" s="42" t="str">
        <x:v>Creditors thousand kc</x:v>
      </x:c>
      <x:c r="D283" s="42" t="str">
        <x:v>General creditors, including bank creditors, other current accounts and mortgage borrowing.</x:v>
      </x:c>
      <x:c r="E283" s="42" t="str">
        <x:v>number</x:v>
      </x:c>
      <x:c r="F283" s="42" t="str">
        <x:v>thousand_kc_nominal</x:v>
      </x:c>
      <x:c r="G283" s="42" t="str">
        <x:v>measure</x:v>
      </x:c>
      <x:c r="H283" s="42"/>
      <x:c r="I283" s="42"/>
      <x:c r="J283" s="42" t="str">
        <x:v>creditors_thousand_kc</x:v>
      </x:c>
      <x:c r="K283" s="42" t="str">
        <x:v>empty CSV field; never implicit zero</x:v>
      </x:c>
      <x:c r="L283" s="42" t="str">
        <x:v>data/observations_long.csv; metadata/raw_to_analytic.csv</x:v>
      </x:c>
    </x:row>
    <x:row r="284" ht="36" customHeight="1">
      <x:c r="A284" s="41" t="str">
        <x:v>institution_crosswalk_1929</x:v>
      </x:c>
      <x:c r="B284" s="41" t="str">
        <x:v>own_bonds_thousand_kc</x:v>
      </x:c>
      <x:c r="C284" s="41" t="str">
        <x:v>Own bonds thousand kc</x:v>
      </x:c>
      <x:c r="D284" s="41" t="str">
        <x:v>Own-issued debt securities; accepted dashes-as-zero convention is flagged.</x:v>
      </x:c>
      <x:c r="E284" s="41" t="str">
        <x:v>number</x:v>
      </x:c>
      <x:c r="F284" s="41" t="str">
        <x:v>thousand_kc_nominal</x:v>
      </x:c>
      <x:c r="G284" s="41" t="str">
        <x:v>measure</x:v>
      </x:c>
      <x:c r="H284" s="41"/>
      <x:c r="I284" s="41"/>
      <x:c r="J284" s="41" t="str">
        <x:v>own_bonds_thousand_kc</x:v>
      </x:c>
      <x:c r="K284" s="41" t="str">
        <x:v>empty CSV field; never implicit zero</x:v>
      </x:c>
      <x:c r="L284" s="41" t="str">
        <x:v>data/observations_long.csv; metadata/raw_to_analytic.csv</x:v>
      </x:c>
    </x:row>
    <x:row r="285" ht="36" customHeight="1">
      <x:c r="A285" s="42" t="str">
        <x:v>institution_crosswalk_1929</x:v>
      </x:c>
      <x:c r="B285" s="42" t="str">
        <x:v>population_id</x:v>
      </x:c>
      <x:c r="C285" s="42" t="str">
        <x:v>Population id</x:v>
      </x:c>
      <x:c r="D285" s="42" t="str">
        <x:v>Join key to metadata/population_definitions.csv; populations must not be pooled or added without a defined bridge.</x:v>
      </x:c>
      <x:c r="E285" s="42" t="str">
        <x:v>string</x:v>
      </x:c>
      <x:c r="F285" s="42"/>
      <x:c r="G285" s="42" t="str">
        <x:v>provenance_or_identifier</x:v>
      </x:c>
      <x:c r="H285" s="42"/>
      <x:c r="I285" s="42"/>
      <x:c r="J285" s="42"/>
      <x:c r="K285" s="42" t="str">
        <x:v>empty CSV field; never implicit zero</x:v>
      </x:c>
      <x:c r="L285" s="42" t="str">
        <x:v>data/observations_long.csv; metadata/raw_to_analytic.csv</x:v>
      </x:c>
    </x:row>
    <x:row r="286" ht="36" customHeight="1">
      <x:c r="A286" s="41" t="str">
        <x:v>institution_crosswalk_1929</x:v>
      </x:c>
      <x:c r="B286" s="41" t="str">
        <x:v>zero_value_convention</x:v>
      </x:c>
      <x:c r="C286" s="41" t="str">
        <x:v>Zero value convention</x:v>
      </x:c>
      <x:c r="D286" s="41" t="str">
        <x:v>Accepted national dash-to-zero accounting convention; these zeros are distinct from printed numerical zeros.</x:v>
      </x:c>
      <x:c r="E286" s="41" t="str">
        <x:v>string</x:v>
      </x:c>
      <x:c r="F286" s="41"/>
      <x:c r="G286" s="41" t="str">
        <x:v>provenance_or_identifier</x:v>
      </x:c>
      <x:c r="H286" s="41"/>
      <x:c r="I286" s="41"/>
      <x:c r="J286" s="41"/>
      <x:c r="K286" s="41" t="str">
        <x:v>empty CSV field; never implicit zero</x:v>
      </x:c>
      <x:c r="L286" s="41" t="str">
        <x:v>data/observations_long.csv; metadata/raw_to_analytic.csv</x:v>
      </x:c>
    </x:row>
    <x:row r="287" ht="50" customHeight="1">
      <x:c r="A287" s="42" t="str">
        <x:v>coverage_1929</x:v>
      </x:c>
      <x:c r="B287" s="42" t="str">
        <x:v>measure</x:v>
      </x:c>
      <x:c r="C287" s="42" t="str">
        <x:v>Measure</x:v>
      </x:c>
      <x:c r="D287" s="42" t="str">
        <x:v>Coverage category identifier. Read the unit column: monetary footprint totals are in millions of Kč, while the institution crosswalk retains its original thousand-Kč unit.</x:v>
      </x:c>
      <x:c r="E287" s="42" t="str">
        <x:v>string</x:v>
      </x:c>
      <x:c r="F287" s="42"/>
      <x:c r="G287" s="42" t="str">
        <x:v>provenance_or_identifier</x:v>
      </x:c>
      <x:c r="H287" s="42"/>
      <x:c r="I287" s="42"/>
      <x:c r="J287" s="42"/>
      <x:c r="K287" s="42" t="str">
        <x:v>empty CSV field; never implicit zero</x:v>
      </x:c>
      <x:c r="L287" s="42" t="str">
        <x:v>data/observations_long.csv; metadata/raw_to_analytic.csv</x:v>
      </x:c>
    </x:row>
    <x:row r="288" ht="36" customHeight="1">
      <x:c r="A288" s="41" t="str">
        <x:v>coverage_1929</x:v>
      </x:c>
      <x:c r="B288" s="41" t="str">
        <x:v>label</x:v>
      </x:c>
      <x:c r="C288" s="41" t="str">
        <x:v>Label</x:v>
      </x:c>
      <x:c r="D288" s="41" t="str">
        <x:v>Human-readable coverage category.</x:v>
      </x:c>
      <x:c r="E288" s="41" t="str">
        <x:v>string</x:v>
      </x:c>
      <x:c r="F288" s="41"/>
      <x:c r="G288" s="41" t="str">
        <x:v>provenance_or_identifier</x:v>
      </x:c>
      <x:c r="H288" s="41"/>
      <x:c r="I288" s="41"/>
      <x:c r="J288" s="41"/>
      <x:c r="K288" s="41" t="str">
        <x:v>empty CSV field; never implicit zero</x:v>
      </x:c>
      <x:c r="L288" s="41" t="str">
        <x:v>data/observations_long.csv; metadata/raw_to_analytic.csv</x:v>
      </x:c>
    </x:row>
    <x:row r="289" ht="36" customHeight="1">
      <x:c r="A289" s="42" t="str">
        <x:v>coverage_1929</x:v>
      </x:c>
      <x:c r="B289" s="42" t="str">
        <x:v>year</x:v>
      </x:c>
      <x:c r="C289" s="42" t="str">
        <x:v>Year</x:v>
      </x:c>
      <x:c r="D289" s="42" t="str">
        <x:v>Calendar year of the observation; balance-sheet stocks are year-end unless a source-date field says otherwise.</x:v>
      </x:c>
      <x:c r="E289" s="42" t="str">
        <x:v>integer</x:v>
      </x:c>
      <x:c r="F289" s="42"/>
      <x:c r="G289" s="42" t="str">
        <x:v>provenance_or_identifier</x:v>
      </x:c>
      <x:c r="H289" s="42"/>
      <x:c r="I289" s="42"/>
      <x:c r="J289" s="42"/>
      <x:c r="K289" s="42" t="str">
        <x:v>empty CSV field; never implicit zero</x:v>
      </x:c>
      <x:c r="L289" s="42" t="str">
        <x:v>data/observations_long.csv; metadata/raw_to_analytic.csv</x:v>
      </x:c>
    </x:row>
    <x:row r="290" ht="36" customHeight="1">
      <x:c r="A290" s="41" t="str">
        <x:v>coverage_1929</x:v>
      </x:c>
      <x:c r="B290" s="41" t="str">
        <x:v>unit</x:v>
      </x:c>
      <x:c r="C290" s="41" t="str">
        <x:v>Unit</x:v>
      </x:c>
      <x:c r="D290" s="41" t="str">
        <x:v>Machine-readable measurement unit. row_unit means read the unit column of that row.</x:v>
      </x:c>
      <x:c r="E290" s="41" t="str">
        <x:v>string</x:v>
      </x:c>
      <x:c r="F290" s="41"/>
      <x:c r="G290" s="41" t="str">
        <x:v>provenance_or_identifier</x:v>
      </x:c>
      <x:c r="H290" s="41"/>
      <x:c r="I290" s="41"/>
      <x:c r="J290" s="41"/>
      <x:c r="K290" s="41" t="str">
        <x:v>empty CSV field; never implicit zero</x:v>
      </x:c>
      <x:c r="L290" s="41" t="str">
        <x:v>data/observations_long.csv; metadata/raw_to_analytic.csv</x:v>
      </x:c>
    </x:row>
    <x:row r="291" ht="36" customHeight="1">
      <x:c r="A291" s="42" t="str">
        <x:v>coverage_1929</x:v>
      </x:c>
      <x:c r="B291" s="42" t="str">
        <x:v>national_22_total</x:v>
      </x:c>
      <x:c r="C291" s="42" t="str">
        <x:v>National 22 total</x:v>
      </x:c>
      <x:c r="D291" s="42" t="str">
        <x:v>1929 national-roster national 22 total. No later population equivalence is assumed.</x:v>
      </x:c>
      <x:c r="E291" s="42" t="str">
        <x:v>number</x:v>
      </x:c>
      <x:c r="F291" s="42" t="str">
        <x:v>row_unit</x:v>
      </x:c>
      <x:c r="G291" s="42" t="str">
        <x:v>measure</x:v>
      </x:c>
      <x:c r="H291" s="42" t="str">
        <x:v>source-internal roster aggregation</x:v>
      </x:c>
      <x:c r="I291" s="42"/>
      <x:c r="J291" s="42"/>
      <x:c r="K291" s="42" t="str">
        <x:v>empty CSV field; never implicit zero</x:v>
      </x:c>
      <x:c r="L291" s="42" t="str">
        <x:v>data/observations_long.csv; metadata/raw_to_analytic.csv</x:v>
      </x:c>
    </x:row>
    <x:row r="292" ht="36" customHeight="1">
      <x:c r="A292" s="41" t="str">
        <x:v>coverage_1929</x:v>
      </x:c>
      <x:c r="B292" s="41" t="str">
        <x:v>matched_14_total</x:v>
      </x:c>
      <x:c r="C292" s="41" t="str">
        <x:v>Matched 14 total</x:v>
      </x:c>
      <x:c r="D292" s="41" t="str">
        <x:v>1929 national-roster matched 14 total. No later population equivalence is assumed.</x:v>
      </x:c>
      <x:c r="E292" s="41" t="str">
        <x:v>number</x:v>
      </x:c>
      <x:c r="F292" s="41" t="str">
        <x:v>row_unit</x:v>
      </x:c>
      <x:c r="G292" s="41" t="str">
        <x:v>measure</x:v>
      </x:c>
      <x:c r="H292" s="41" t="str">
        <x:v>source-internal roster aggregation</x:v>
      </x:c>
      <x:c r="I292" s="41"/>
      <x:c r="J292" s="41"/>
      <x:c r="K292" s="41" t="str">
        <x:v>empty CSV field; never implicit zero</x:v>
      </x:c>
      <x:c r="L292" s="41" t="str">
        <x:v>data/observations_long.csv; metadata/raw_to_analytic.csv</x:v>
      </x:c>
    </x:row>
    <x:row r="293" ht="36" customHeight="1">
      <x:c r="A293" s="42" t="str">
        <x:v>coverage_1929</x:v>
      </x:c>
      <x:c r="B293" s="42" t="str">
        <x:v>unmatched_8_total</x:v>
      </x:c>
      <x:c r="C293" s="42" t="str">
        <x:v>Unmatched 8 total</x:v>
      </x:c>
      <x:c r="D293" s="42" t="str">
        <x:v>1929 national-roster unmatched 8 total. No later population equivalence is assumed.</x:v>
      </x:c>
      <x:c r="E293" s="42" t="str">
        <x:v>number</x:v>
      </x:c>
      <x:c r="F293" s="42" t="str">
        <x:v>row_unit</x:v>
      </x:c>
      <x:c r="G293" s="42" t="str">
        <x:v>measure</x:v>
      </x:c>
      <x:c r="H293" s="42" t="str">
        <x:v>source-internal roster aggregation</x:v>
      </x:c>
      <x:c r="I293" s="42"/>
      <x:c r="J293" s="42"/>
      <x:c r="K293" s="42" t="str">
        <x:v>empty CSV field; never implicit zero</x:v>
      </x:c>
      <x:c r="L293" s="42" t="str">
        <x:v>data/observations_long.csv; metadata/raw_to_analytic.csv</x:v>
      </x:c>
    </x:row>
    <x:row r="294" ht="36" customHeight="1">
      <x:c r="A294" s="41" t="str">
        <x:v>coverage_1929</x:v>
      </x:c>
      <x:c r="B294" s="41" t="str">
        <x:v>matched_share_percent</x:v>
      </x:c>
      <x:c r="C294" s="41" t="str">
        <x:v>Matched share percent</x:v>
      </x:c>
      <x:c r="D294" s="41" t="str">
        <x:v>1929 national-roster matched share percent. No later population equivalence is assumed.</x:v>
      </x:c>
      <x:c r="E294" s="41" t="str">
        <x:v>number</x:v>
      </x:c>
      <x:c r="F294" s="41" t="str">
        <x:v>percent</x:v>
      </x:c>
      <x:c r="G294" s="41" t="str">
        <x:v>measure</x:v>
      </x:c>
      <x:c r="H294" s="41" t="str">
        <x:v>source-internal roster aggregation</x:v>
      </x:c>
      <x:c r="I294" s="41"/>
      <x:c r="J294" s="41"/>
      <x:c r="K294" s="41" t="str">
        <x:v>empty CSV field; never implicit zero</x:v>
      </x:c>
      <x:c r="L294" s="41" t="str">
        <x:v>data/observations_long.csv; metadata/raw_to_analytic.csv</x:v>
      </x:c>
    </x:row>
    <x:row r="295" ht="36" customHeight="1">
      <x:c r="A295" s="42" t="str">
        <x:v>coverage_1929</x:v>
      </x:c>
      <x:c r="B295" s="42" t="str">
        <x:v>interpretation</x:v>
      </x:c>
      <x:c r="C295" s="42" t="str">
        <x:v>Interpretation</x:v>
      </x:c>
      <x:c r="D295" s="42" t="str">
        <x:v>Limit on what the observation, event or footprint can establish.</x:v>
      </x:c>
      <x:c r="E295" s="42" t="str">
        <x:v>string</x:v>
      </x:c>
      <x:c r="F295" s="42"/>
      <x:c r="G295" s="42" t="str">
        <x:v>provenance_or_identifier</x:v>
      </x:c>
      <x:c r="H295" s="42"/>
      <x:c r="I295" s="42"/>
      <x:c r="J295" s="42"/>
      <x:c r="K295" s="42" t="str">
        <x:v>empty CSV field; never implicit zero</x:v>
      </x:c>
      <x:c r="L295" s="42" t="str">
        <x:v>data/observations_long.csv; metadata/raw_to_analytic.csv</x:v>
      </x:c>
    </x:row>
    <x:row r="296" ht="36" customHeight="1">
      <x:c r="A296" s="41" t="str">
        <x:v>coverage_1929</x:v>
      </x:c>
      <x:c r="B296" s="41" t="str">
        <x:v>population_id</x:v>
      </x:c>
      <x:c r="C296" s="41" t="str">
        <x:v>Population id</x:v>
      </x:c>
      <x:c r="D296" s="41" t="str">
        <x:v>Join key to metadata/population_definitions.csv; populations must not be pooled or added without a defined bridge.</x:v>
      </x:c>
      <x:c r="E296" s="41" t="str">
        <x:v>string</x:v>
      </x:c>
      <x:c r="F296" s="41"/>
      <x:c r="G296" s="41" t="str">
        <x:v>provenance_or_identifier</x:v>
      </x:c>
      <x:c r="H296" s="41"/>
      <x:c r="I296" s="41"/>
      <x:c r="J296" s="41"/>
      <x:c r="K296" s="41" t="str">
        <x:v>empty CSV field; never implicit zero</x:v>
      </x:c>
      <x:c r="L296" s="41" t="str">
        <x:v>data/observations_long.csv; metadata/raw_to_analytic.csv</x:v>
      </x:c>
    </x:row>
    <x:row r="297" ht="36" customHeight="1">
      <x:c r="A297" s="42" t="str">
        <x:v>reserve_events</x:v>
      </x:c>
      <x:c r="B297" s="42" t="str">
        <x:v>event_id</x:v>
      </x:c>
      <x:c r="C297" s="42" t="str">
        <x:v>Event id</x:v>
      </x:c>
      <x:c r="D297" s="42" t="str">
        <x:v>Stable dated accounting-event identifier.</x:v>
      </x:c>
      <x:c r="E297" s="42" t="str">
        <x:v>string</x:v>
      </x:c>
      <x:c r="F297" s="42"/>
      <x:c r="G297" s="42" t="str">
        <x:v>provenance_or_identifier</x:v>
      </x:c>
      <x:c r="H297" s="42"/>
      <x:c r="I297" s="42"/>
      <x:c r="J297" s="42"/>
      <x:c r="K297" s="42" t="str">
        <x:v>empty CSV field; never implicit zero</x:v>
      </x:c>
      <x:c r="L297" s="42" t="str">
        <x:v>data/observations_long.csv; metadata/raw_to_analytic.csv</x:v>
      </x:c>
    </x:row>
    <x:row r="298" ht="36" customHeight="1">
      <x:c r="A298" s="41" t="str">
        <x:v>reserve_events</x:v>
      </x:c>
      <x:c r="B298" s="41" t="str">
        <x:v>bank_id</x:v>
      </x:c>
      <x:c r="C298" s="41" t="str">
        <x:v>Bank id</x:v>
      </x:c>
      <x:c r="D298" s="41" t="str">
        <x:v>Stable ASCII institution identifier retained from the accepted named-bank panel.</x:v>
      </x:c>
      <x:c r="E298" s="41" t="str">
        <x:v>string</x:v>
      </x:c>
      <x:c r="F298" s="41"/>
      <x:c r="G298" s="41" t="str">
        <x:v>provenance_or_identifier</x:v>
      </x:c>
      <x:c r="H298" s="41"/>
      <x:c r="I298" s="41"/>
      <x:c r="J298" s="41"/>
      <x:c r="K298" s="41" t="str">
        <x:v>empty CSV field; never implicit zero</x:v>
      </x:c>
      <x:c r="L298" s="41" t="str">
        <x:v>data/observations_long.csv; metadata/raw_to_analytic.csv</x:v>
      </x:c>
    </x:row>
    <x:row r="299" ht="36" customHeight="1">
      <x:c r="A299" s="42" t="str">
        <x:v>reserve_events</x:v>
      </x:c>
      <x:c r="B299" s="42" t="str">
        <x:v>bank_name</x:v>
      </x:c>
      <x:c r="C299" s="42" t="str">
        <x:v>Bank name</x:v>
      </x:c>
      <x:c r="D299" s="42" t="str">
        <x:v>UTF-8 canonical bank name; spelling retains historical Czech/German names.</x:v>
      </x:c>
      <x:c r="E299" s="42" t="str">
        <x:v>string</x:v>
      </x:c>
      <x:c r="F299" s="42"/>
      <x:c r="G299" s="42" t="str">
        <x:v>provenance_or_identifier</x:v>
      </x:c>
      <x:c r="H299" s="42"/>
      <x:c r="I299" s="42"/>
      <x:c r="J299" s="42"/>
      <x:c r="K299" s="42" t="str">
        <x:v>empty CSV field; never implicit zero</x:v>
      </x:c>
      <x:c r="L299" s="42" t="str">
        <x:v>data/observations_long.csv; metadata/raw_to_analytic.csv</x:v>
      </x:c>
    </x:row>
    <x:row r="300" ht="36" customHeight="1">
      <x:c r="A300" s="41" t="str">
        <x:v>reserve_events</x:v>
      </x:c>
      <x:c r="B300" s="41" t="str">
        <x:v>year</x:v>
      </x:c>
      <x:c r="C300" s="41" t="str">
        <x:v>Year</x:v>
      </x:c>
      <x:c r="D300" s="41" t="str">
        <x:v>Calendar year of the observation; balance-sheet stocks are year-end unless a source-date field says otherwise.</x:v>
      </x:c>
      <x:c r="E300" s="41" t="str">
        <x:v>integer</x:v>
      </x:c>
      <x:c r="F300" s="41"/>
      <x:c r="G300" s="41" t="str">
        <x:v>provenance_or_identifier</x:v>
      </x:c>
      <x:c r="H300" s="41"/>
      <x:c r="I300" s="41"/>
      <x:c r="J300" s="41"/>
      <x:c r="K300" s="41" t="str">
        <x:v>empty CSV field; never implicit zero</x:v>
      </x:c>
      <x:c r="L300" s="41" t="str">
        <x:v>data/observations_long.csv; metadata/raw_to_analytic.csv</x:v>
      </x:c>
    </x:row>
    <x:row r="301" ht="36" customHeight="1">
      <x:c r="A301" s="42" t="str">
        <x:v>reserve_events</x:v>
      </x:c>
      <x:c r="B301" s="42" t="str">
        <x:v>event_date</x:v>
      </x:c>
      <x:c r="C301" s="42" t="str">
        <x:v>Event date</x:v>
      </x:c>
      <x:c r="D301" s="42" t="str">
        <x:v>Exact date when documented; empty when only the event year is established.</x:v>
      </x:c>
      <x:c r="E301" s="42" t="str">
        <x:v>string</x:v>
      </x:c>
      <x:c r="F301" s="42"/>
      <x:c r="G301" s="42" t="str">
        <x:v>provenance_or_identifier</x:v>
      </x:c>
      <x:c r="H301" s="42"/>
      <x:c r="I301" s="42"/>
      <x:c r="J301" s="42"/>
      <x:c r="K301" s="42" t="str">
        <x:v>empty CSV field; never implicit zero</x:v>
      </x:c>
      <x:c r="L301" s="42" t="str">
        <x:v>data/observations_long.csv; metadata/raw_to_analytic.csv</x:v>
      </x:c>
    </x:row>
    <x:row r="302" ht="36" customHeight="1">
      <x:c r="A302" s="41" t="str">
        <x:v>reserve_events</x:v>
      </x:c>
      <x:c r="B302" s="41" t="str">
        <x:v>event_type</x:v>
      </x:c>
      <x:c r="C302" s="41" t="str">
        <x:v>Event type</x:v>
      </x:c>
      <x:c r="D302" s="41" t="str">
        <x:v>Classification of the accounting transaction or opening-balance adjustment.</x:v>
      </x:c>
      <x:c r="E302" s="41" t="str">
        <x:v>string</x:v>
      </x:c>
      <x:c r="F302" s="41"/>
      <x:c r="G302" s="41" t="str">
        <x:v>provenance_or_identifier</x:v>
      </x:c>
      <x:c r="H302" s="41"/>
      <x:c r="I302" s="41"/>
      <x:c r="J302" s="41"/>
      <x:c r="K302" s="41" t="str">
        <x:v>empty CSV field; never implicit zero</x:v>
      </x:c>
      <x:c r="L302" s="41" t="str">
        <x:v>data/observations_long.csv; metadata/raw_to_analytic.csv</x:v>
      </x:c>
    </x:row>
    <x:row r="303" ht="36" customHeight="1">
      <x:c r="A303" s="42" t="str">
        <x:v>reserve_events</x:v>
      </x:c>
      <x:c r="B303" s="42" t="str">
        <x:v>amount_million_kc</x:v>
      </x:c>
      <x:c r="C303" s="42" t="str">
        <x:v>Amount million kc</x:v>
      </x:c>
      <x:c r="D303" s="42" t="str">
        <x:v>Event-account amount million kc. Dates and opening versus closing positions are explicit; amounts are not automatically additive to aggregate equity.</x:v>
      </x:c>
      <x:c r="E303" s="42" t="str">
        <x:v>number</x:v>
      </x:c>
      <x:c r="F303" s="42" t="str">
        <x:v>million_kc_nominal</x:v>
      </x:c>
      <x:c r="G303" s="42" t="str">
        <x:v>measure</x:v>
      </x:c>
      <x:c r="H303" s="42"/>
      <x:c r="I303" s="42"/>
      <x:c r="J303" s="42" t="str">
        <x:v>amount_million_kc</x:v>
      </x:c>
      <x:c r="K303" s="42" t="str">
        <x:v>empty CSV field; never implicit zero</x:v>
      </x:c>
      <x:c r="L303" s="42" t="str">
        <x:v>data/observations_long.csv; metadata/raw_to_analytic.csv</x:v>
      </x:c>
    </x:row>
    <x:row r="304" ht="36" customHeight="1">
      <x:c r="A304" s="41" t="str">
        <x:v>reserve_events</x:v>
      </x:c>
      <x:c r="B304" s="41" t="str">
        <x:v>amount_status</x:v>
      </x:c>
      <x:c r="C304" s="41" t="str">
        <x:v>Amount status</x:v>
      </x:c>
      <x:c r="D304" s="41" t="str">
        <x:v>Distinguishes an explicitly reported transfer/utilization from a calculated opening adjustment.</x:v>
      </x:c>
      <x:c r="E304" s="41" t="str">
        <x:v>string</x:v>
      </x:c>
      <x:c r="F304" s="41"/>
      <x:c r="G304" s="41" t="str">
        <x:v>provenance_or_identifier</x:v>
      </x:c>
      <x:c r="H304" s="41"/>
      <x:c r="I304" s="41"/>
      <x:c r="J304" s="41"/>
      <x:c r="K304" s="41" t="str">
        <x:v>empty CSV field; never implicit zero</x:v>
      </x:c>
      <x:c r="L304" s="41" t="str">
        <x:v>data/observations_long.csv; metadata/raw_to_analytic.csv</x:v>
      </x:c>
    </x:row>
    <x:row r="305" ht="50" customHeight="1">
      <x:c r="A305" s="42" t="str">
        <x:v>reserve_events</x:v>
      </x:c>
      <x:c r="B305" s="42" t="str">
        <x:v>published_reserves_previous_year</x:v>
      </x:c>
      <x:c r="C305" s="42" t="str">
        <x:v>Published reserves previous year</x:v>
      </x:c>
      <x:c r="D305" s="42" t="str">
        <x:v>Event-account published reserves previous year. Dates and opening versus closing positions are explicit; amounts are not automatically additive to aggregate equity.</x:v>
      </x:c>
      <x:c r="E305" s="42" t="str">
        <x:v>number</x:v>
      </x:c>
      <x:c r="F305" s="42" t="str">
        <x:v>million_kc_nominal</x:v>
      </x:c>
      <x:c r="G305" s="42" t="str">
        <x:v>measure</x:v>
      </x:c>
      <x:c r="H305" s="42"/>
      <x:c r="I305" s="42"/>
      <x:c r="J305" s="42" t="str">
        <x:v>published_reserves_previous_year</x:v>
      </x:c>
      <x:c r="K305" s="42" t="str">
        <x:v>empty CSV field; never implicit zero</x:v>
      </x:c>
      <x:c r="L305" s="42" t="str">
        <x:v>data/observations_long.csv; metadata/raw_to_analytic.csv</x:v>
      </x:c>
    </x:row>
    <x:row r="306" ht="50" customHeight="1">
      <x:c r="A306" s="41" t="str">
        <x:v>reserve_events</x:v>
      </x:c>
      <x:c r="B306" s="41" t="str">
        <x:v>published_reserves_year_end</x:v>
      </x:c>
      <x:c r="C306" s="41" t="str">
        <x:v>Published reserves year end</x:v>
      </x:c>
      <x:c r="D306" s="41" t="str">
        <x:v>Event-account published reserves year end. Dates and opening versus closing positions are explicit; amounts are not automatically additive to aggregate equity.</x:v>
      </x:c>
      <x:c r="E306" s="41" t="str">
        <x:v>number</x:v>
      </x:c>
      <x:c r="F306" s="41" t="str">
        <x:v>million_kc_nominal</x:v>
      </x:c>
      <x:c r="G306" s="41" t="str">
        <x:v>measure</x:v>
      </x:c>
      <x:c r="H306" s="41"/>
      <x:c r="I306" s="41"/>
      <x:c r="J306" s="41" t="str">
        <x:v>published_reserves_year_end</x:v>
      </x:c>
      <x:c r="K306" s="41" t="str">
        <x:v>empty CSV field; never implicit zero</x:v>
      </x:c>
      <x:c r="L306" s="41" t="str">
        <x:v>data/observations_long.csv; metadata/raw_to_analytic.csv</x:v>
      </x:c>
    </x:row>
    <x:row r="307" ht="50" customHeight="1">
      <x:c r="A307" s="42" t="str">
        <x:v>reserve_events</x:v>
      </x:c>
      <x:c r="B307" s="42" t="str">
        <x:v>published_reserves_opening_after_adjustment</x:v>
      </x:c>
      <x:c r="C307" s="42" t="str">
        <x:v>Published reserves opening after adjustment</x:v>
      </x:c>
      <x:c r="D307" s="42" t="str">
        <x:v>Event-account published reserves opening after adjustment. Dates and opening versus closing positions are explicit; amounts are not automatically additive to aggregate equity.</x:v>
      </x:c>
      <x:c r="E307" s="42" t="str">
        <x:v>number</x:v>
      </x:c>
      <x:c r="F307" s="42" t="str">
        <x:v>million_kc_nominal</x:v>
      </x:c>
      <x:c r="G307" s="42" t="str">
        <x:v>measure</x:v>
      </x:c>
      <x:c r="H307" s="42"/>
      <x:c r="I307" s="42"/>
      <x:c r="J307" s="42" t="str">
        <x:v>published_reserves_opening_after_adjustment</x:v>
      </x:c>
      <x:c r="K307" s="42" t="str">
        <x:v>empty CSV field; never implicit zero</x:v>
      </x:c>
      <x:c r="L307" s="42" t="str">
        <x:v>data/observations_long.csv; metadata/raw_to_analytic.csv</x:v>
      </x:c>
    </x:row>
    <x:row r="308" ht="36" customHeight="1">
      <x:c r="A308" s="41" t="str">
        <x:v>reserve_events</x:v>
      </x:c>
      <x:c r="B308" s="41" t="str">
        <x:v>event_description</x:v>
      </x:c>
      <x:c r="C308" s="41" t="str">
        <x:v>Event description</x:v>
      </x:c>
      <x:c r="D308" s="41" t="str">
        <x:v>Description of the dated transaction, preserving source category boundaries.</x:v>
      </x:c>
      <x:c r="E308" s="41" t="str">
        <x:v>string</x:v>
      </x:c>
      <x:c r="F308" s="41"/>
      <x:c r="G308" s="41" t="str">
        <x:v>provenance_or_identifier</x:v>
      </x:c>
      <x:c r="H308" s="41"/>
      <x:c r="I308" s="41"/>
      <x:c r="J308" s="41"/>
      <x:c r="K308" s="41" t="str">
        <x:v>empty CSV field; never implicit zero</x:v>
      </x:c>
      <x:c r="L308" s="41" t="str">
        <x:v>data/observations_long.csv; metadata/raw_to_analytic.csv</x:v>
      </x:c>
    </x:row>
    <x:row r="309" ht="36" customHeight="1">
      <x:c r="A309" s="42" t="str">
        <x:v>reserve_events</x:v>
      </x:c>
      <x:c r="B309" s="42" t="str">
        <x:v>interpretation</x:v>
      </x:c>
      <x:c r="C309" s="42" t="str">
        <x:v>Interpretation</x:v>
      </x:c>
      <x:c r="D309" s="42" t="str">
        <x:v>Limit on what the observation, event or footprint can establish.</x:v>
      </x:c>
      <x:c r="E309" s="42" t="str">
        <x:v>string</x:v>
      </x:c>
      <x:c r="F309" s="42"/>
      <x:c r="G309" s="42" t="str">
        <x:v>provenance_or_identifier</x:v>
      </x:c>
      <x:c r="H309" s="42"/>
      <x:c r="I309" s="42"/>
      <x:c r="J309" s="42"/>
      <x:c r="K309" s="42" t="str">
        <x:v>empty CSV field; never implicit zero</x:v>
      </x:c>
      <x:c r="L309" s="42" t="str">
        <x:v>data/observations_long.csv; metadata/raw_to_analytic.csv</x:v>
      </x:c>
    </x:row>
    <x:row r="310" ht="36" customHeight="1">
      <x:c r="A310" s="41" t="str">
        <x:v>reserve_events</x:v>
      </x:c>
      <x:c r="B310" s="41" t="str">
        <x:v>source_id</x:v>
      </x:c>
      <x:c r="C310" s="41" t="str">
        <x:v>Source id</x:v>
      </x:c>
      <x:c r="D310" s="41" t="str">
        <x:v>Source identifier joining metadata/source_index.csv.</x:v>
      </x:c>
      <x:c r="E310" s="41" t="str">
        <x:v>string</x:v>
      </x:c>
      <x:c r="F310" s="41"/>
      <x:c r="G310" s="41" t="str">
        <x:v>provenance_or_identifier</x:v>
      </x:c>
      <x:c r="H310" s="41"/>
      <x:c r="I310" s="41"/>
      <x:c r="J310" s="41"/>
      <x:c r="K310" s="41" t="str">
        <x:v>empty CSV field; never implicit zero</x:v>
      </x:c>
      <x:c r="L310" s="41" t="str">
        <x:v>data/observations_long.csv; metadata/raw_to_analytic.csv</x:v>
      </x:c>
    </x:row>
    <x:row r="311" ht="36" customHeight="1">
      <x:c r="A311" s="42" t="str">
        <x:v>reserve_events</x:v>
      </x:c>
      <x:c r="B311" s="42" t="str">
        <x:v>source_pdf_pages</x:v>
      </x:c>
      <x:c r="C311" s="42" t="str">
        <x:v>Source pdf pages</x:v>
      </x:c>
      <x:c r="D311" s="42" t="str">
        <x:v>Digital handbook source pages, separated by semicolons.</x:v>
      </x:c>
      <x:c r="E311" s="42" t="str">
        <x:v>string</x:v>
      </x:c>
      <x:c r="F311" s="42"/>
      <x:c r="G311" s="42" t="str">
        <x:v>provenance_or_identifier</x:v>
      </x:c>
      <x:c r="H311" s="42"/>
      <x:c r="I311" s="42"/>
      <x:c r="J311" s="42"/>
      <x:c r="K311" s="42" t="str">
        <x:v>empty CSV field; never implicit zero</x:v>
      </x:c>
      <x:c r="L311" s="42" t="str">
        <x:v>data/observations_long.csv; metadata/raw_to_analytic.csv</x:v>
      </x:c>
    </x:row>
    <x:row r="312" ht="36" customHeight="1">
      <x:c r="A312" s="41" t="str">
        <x:v>reserve_events</x:v>
      </x:c>
      <x:c r="B312" s="41" t="str">
        <x:v>original_annual_report_verified</x:v>
      </x:c>
      <x:c r="C312" s="41" t="str">
        <x:v>Original annual report verified</x:v>
      </x:c>
      <x:c r="D312" s="41" t="str">
        <x:v>False: original bank annual-report facsimiles were not independently checked; the consulted handbook edition was checked.</x:v>
      </x:c>
      <x:c r="E312" s="41" t="str">
        <x:v>boolean</x:v>
      </x:c>
      <x:c r="F312" s="41"/>
      <x:c r="G312" s="41" t="str">
        <x:v>provenance_or_identifier</x:v>
      </x:c>
      <x:c r="H312" s="41"/>
      <x:c r="I312" s="41"/>
      <x:c r="J312" s="41"/>
      <x:c r="K312" s="41" t="str">
        <x:v>empty CSV field; never implicit zero</x:v>
      </x:c>
      <x:c r="L312" s="41" t="str">
        <x:v>data/observations_long.csv; metadata/raw_to_analytic.csv</x:v>
      </x:c>
    </x:row>
    <x:row r="313" ht="36" customHeight="1">
      <x:c r="A313" s="42" t="str">
        <x:v>reserve_events</x:v>
      </x:c>
      <x:c r="B313" s="42" t="str">
        <x:v>population_id</x:v>
      </x:c>
      <x:c r="C313" s="42" t="str">
        <x:v>Population id</x:v>
      </x:c>
      <x:c r="D313" s="42" t="str">
        <x:v>Join key to metadata/population_definitions.csv; populations must not be pooled or added without a defined bridge.</x:v>
      </x:c>
      <x:c r="E313" s="42" t="str">
        <x:v>string</x:v>
      </x:c>
      <x:c r="F313" s="42"/>
      <x:c r="G313" s="42" t="str">
        <x:v>provenance_or_identifier</x:v>
      </x:c>
      <x:c r="H313" s="42"/>
      <x:c r="I313" s="42"/>
      <x:c r="J313" s="42"/>
      <x:c r="K313" s="42" t="str">
        <x:v>empty CSV field; never implicit zero</x:v>
      </x:c>
      <x:c r="L313" s="42" t="str">
        <x:v>data/observations_long.csv; metadata/raw_to_analytic.csv</x:v>
      </x:c>
    </x:row>
    <x:row r="314" ht="36" customHeight="1">
      <x:c r="A314" s="41" t="str">
        <x:v>source_observations</x:v>
      </x:c>
      <x:c r="B314" s="41" t="str">
        <x:v>source_record_id</x:v>
      </x:c>
      <x:c r="C314" s="41" t="str">
        <x:v>Source record id</x:v>
      </x:c>
      <x:c r="D314" s="41" t="str">
        <x:v>Stable identifier from the accepted selected-source ledger.</x:v>
      </x:c>
      <x:c r="E314" s="41" t="str">
        <x:v>string</x:v>
      </x:c>
      <x:c r="F314" s="41"/>
      <x:c r="G314" s="41" t="str">
        <x:v>provenance_or_identifier</x:v>
      </x:c>
      <x:c r="H314" s="41"/>
      <x:c r="I314" s="41"/>
      <x:c r="J314" s="41"/>
      <x:c r="K314" s="41" t="str">
        <x:v>empty CSV field; never implicit zero</x:v>
      </x:c>
      <x:c r="L314" s="41" t="str">
        <x:v>data/observations_long.csv; metadata/raw_to_analytic.csv</x:v>
      </x:c>
    </x:row>
    <x:row r="315" ht="36" customHeight="1">
      <x:c r="A315" s="42" t="str">
        <x:v>source_observations</x:v>
      </x:c>
      <x:c r="B315" s="42" t="str">
        <x:v>source_entry_id</x:v>
      </x:c>
      <x:c r="C315" s="42" t="str">
        <x:v>Source entry id</x:v>
      </x:c>
      <x:c r="D315" s="42" t="str">
        <x:v>Accepted source-table entry identifier.</x:v>
      </x:c>
      <x:c r="E315" s="42" t="str">
        <x:v>string</x:v>
      </x:c>
      <x:c r="F315" s="42"/>
      <x:c r="G315" s="42" t="str">
        <x:v>provenance_or_identifier</x:v>
      </x:c>
      <x:c r="H315" s="42"/>
      <x:c r="I315" s="42"/>
      <x:c r="J315" s="42"/>
      <x:c r="K315" s="42" t="str">
        <x:v>empty CSV field; never implicit zero</x:v>
      </x:c>
      <x:c r="L315" s="42" t="str">
        <x:v>data/observations_long.csv; metadata/raw_to_analytic.csv</x:v>
      </x:c>
    </x:row>
    <x:row r="316" ht="36" customHeight="1">
      <x:c r="A316" s="41" t="str">
        <x:v>source_observations</x:v>
      </x:c>
      <x:c r="B316" s="41" t="str">
        <x:v>source_id</x:v>
      </x:c>
      <x:c r="C316" s="41" t="str">
        <x:v>Source id</x:v>
      </x:c>
      <x:c r="D316" s="41" t="str">
        <x:v>Source identifier joining metadata/source_index.csv.</x:v>
      </x:c>
      <x:c r="E316" s="41" t="str">
        <x:v>string</x:v>
      </x:c>
      <x:c r="F316" s="41"/>
      <x:c r="G316" s="41" t="str">
        <x:v>provenance_or_identifier</x:v>
      </x:c>
      <x:c r="H316" s="41"/>
      <x:c r="I316" s="41"/>
      <x:c r="J316" s="41"/>
      <x:c r="K316" s="41" t="str">
        <x:v>empty CSV field; never implicit zero</x:v>
      </x:c>
      <x:c r="L316" s="41" t="str">
        <x:v>data/observations_long.csv; metadata/raw_to_analytic.csv</x:v>
      </x:c>
    </x:row>
    <x:row r="317" ht="36" customHeight="1">
      <x:c r="A317" s="42" t="str">
        <x:v>source_observations</x:v>
      </x:c>
      <x:c r="B317" s="42" t="str">
        <x:v>publication_year</x:v>
      </x:c>
      <x:c r="C317" s="42" t="str">
        <x:v>Publication year</x:v>
      </x:c>
      <x:c r="D317" s="42" t="str">
        <x:v>Publication year of the referenced source, distinct from observation year.</x:v>
      </x:c>
      <x:c r="E317" s="42" t="str">
        <x:v>integer</x:v>
      </x:c>
      <x:c r="F317" s="42"/>
      <x:c r="G317" s="42" t="str">
        <x:v>provenance_or_identifier</x:v>
      </x:c>
      <x:c r="H317" s="42"/>
      <x:c r="I317" s="42"/>
      <x:c r="J317" s="42"/>
      <x:c r="K317" s="42" t="str">
        <x:v>empty CSV field; never implicit zero</x:v>
      </x:c>
      <x:c r="L317" s="42" t="str">
        <x:v>data/observations_long.csv; metadata/raw_to_analytic.csv</x:v>
      </x:c>
    </x:row>
    <x:row r="318" ht="36" customHeight="1">
      <x:c r="A318" s="41" t="str">
        <x:v>source_observations</x:v>
      </x:c>
      <x:c r="B318" s="41" t="str">
        <x:v>source_block</x:v>
      </x:c>
      <x:c r="C318" s="41" t="str">
        <x:v>Source block</x:v>
      </x:c>
      <x:c r="D318" s="41" t="str">
        <x:v>Original balance-sheet, profit-and-loss or components block.</x:v>
      </x:c>
      <x:c r="E318" s="41" t="str">
        <x:v>string</x:v>
      </x:c>
      <x:c r="F318" s="41"/>
      <x:c r="G318" s="41" t="str">
        <x:v>provenance_or_identifier</x:v>
      </x:c>
      <x:c r="H318" s="41"/>
      <x:c r="I318" s="41"/>
      <x:c r="J318" s="41"/>
      <x:c r="K318" s="41" t="str">
        <x:v>empty CSV field; never implicit zero</x:v>
      </x:c>
      <x:c r="L318" s="41" t="str">
        <x:v>data/observations_long.csv; metadata/raw_to_analytic.csv</x:v>
      </x:c>
    </x:row>
    <x:row r="319" ht="36" customHeight="1">
      <x:c r="A319" s="42" t="str">
        <x:v>source_observations</x:v>
      </x:c>
      <x:c r="B319" s="42" t="str">
        <x:v>year</x:v>
      </x:c>
      <x:c r="C319" s="42" t="str">
        <x:v>Year</x:v>
      </x:c>
      <x:c r="D319" s="42" t="str">
        <x:v>Calendar year of the observation; balance-sheet stocks are year-end unless a source-date field says otherwise.</x:v>
      </x:c>
      <x:c r="E319" s="42" t="str">
        <x:v>integer</x:v>
      </x:c>
      <x:c r="F319" s="42"/>
      <x:c r="G319" s="42" t="str">
        <x:v>provenance_or_identifier</x:v>
      </x:c>
      <x:c r="H319" s="42"/>
      <x:c r="I319" s="42"/>
      <x:c r="J319" s="42"/>
      <x:c r="K319" s="42" t="str">
        <x:v>empty CSV field; never implicit zero</x:v>
      </x:c>
      <x:c r="L319" s="42" t="str">
        <x:v>data/observations_long.csv; metadata/raw_to_analytic.csv</x:v>
      </x:c>
    </x:row>
    <x:row r="320" ht="36" customHeight="1">
      <x:c r="A320" s="41" t="str">
        <x:v>source_observations</x:v>
      </x:c>
      <x:c r="B320" s="41" t="str">
        <x:v>source_variable_id</x:v>
      </x:c>
      <x:c r="C320" s="41" t="str">
        <x:v>Source variable id</x:v>
      </x:c>
      <x:c r="D320" s="41" t="str">
        <x:v>Original accepted transcription variable identifier before aliases and analytic renaming.</x:v>
      </x:c>
      <x:c r="E320" s="41" t="str">
        <x:v>string</x:v>
      </x:c>
      <x:c r="F320" s="41"/>
      <x:c r="G320" s="41" t="str">
        <x:v>provenance_or_identifier</x:v>
      </x:c>
      <x:c r="H320" s="41"/>
      <x:c r="I320" s="41"/>
      <x:c r="J320" s="41"/>
      <x:c r="K320" s="41" t="str">
        <x:v>empty CSV field; never implicit zero</x:v>
      </x:c>
      <x:c r="L320" s="41" t="str">
        <x:v>data/observations_long.csv; metadata/raw_to_analytic.csv</x:v>
      </x:c>
    </x:row>
    <x:row r="321" ht="36" customHeight="1">
      <x:c r="A321" s="42" t="str">
        <x:v>source_observations</x:v>
      </x:c>
      <x:c r="B321" s="42" t="str">
        <x:v>original_variable_label</x:v>
      </x:c>
      <x:c r="C321" s="42" t="str">
        <x:v>Original variable label</x:v>
      </x:c>
      <x:c r="D321" s="42" t="str">
        <x:v>Original transcribed variable label; may be Czech or English and is retained verbatim.</x:v>
      </x:c>
      <x:c r="E321" s="42" t="str">
        <x:v>string</x:v>
      </x:c>
      <x:c r="F321" s="42"/>
      <x:c r="G321" s="42" t="str">
        <x:v>provenance_or_identifier</x:v>
      </x:c>
      <x:c r="H321" s="42"/>
      <x:c r="I321" s="42"/>
      <x:c r="J321" s="42"/>
      <x:c r="K321" s="42" t="str">
        <x:v>empty CSV field; never implicit zero</x:v>
      </x:c>
      <x:c r="L321" s="42" t="str">
        <x:v>data/observations_long.csv; metadata/raw_to_analytic.csv</x:v>
      </x:c>
    </x:row>
    <x:row r="322" ht="36" customHeight="1">
      <x:c r="A322" s="41" t="str">
        <x:v>source_observations</x:v>
      </x:c>
      <x:c r="B322" s="41" t="str">
        <x:v>value</x:v>
      </x:c>
      <x:c r="C322" s="41" t="str">
        <x:v>Value</x:v>
      </x:c>
      <x:c r="D322" s="41" t="str">
        <x:v>Numeric value, or empty for unavailable/inapplicable observations. Interpret value_status, observation_type and unit.</x:v>
      </x:c>
      <x:c r="E322" s="41" t="str">
        <x:v>number</x:v>
      </x:c>
      <x:c r="F322" s="41"/>
      <x:c r="G322" s="41" t="str">
        <x:v>measure</x:v>
      </x:c>
      <x:c r="H322" s="41"/>
      <x:c r="I322" s="41"/>
      <x:c r="J322" s="41"/>
      <x:c r="K322" s="41" t="str">
        <x:v>empty CSV field; never implicit zero</x:v>
      </x:c>
      <x:c r="L322" s="41" t="str">
        <x:v>data/observations_long.csv; metadata/raw_to_analytic.csv</x:v>
      </x:c>
    </x:row>
    <x:row r="323" ht="36" customHeight="1">
      <x:c r="A323" s="42" t="str">
        <x:v>source_observations</x:v>
      </x:c>
      <x:c r="B323" s="42" t="str">
        <x:v>unit</x:v>
      </x:c>
      <x:c r="C323" s="42" t="str">
        <x:v>Unit</x:v>
      </x:c>
      <x:c r="D323" s="42" t="str">
        <x:v>Machine-readable measurement unit. row_unit means read the unit column of that row.</x:v>
      </x:c>
      <x:c r="E323" s="42" t="str">
        <x:v>string</x:v>
      </x:c>
      <x:c r="F323" s="42"/>
      <x:c r="G323" s="42" t="str">
        <x:v>provenance_or_identifier</x:v>
      </x:c>
      <x:c r="H323" s="42"/>
      <x:c r="I323" s="42"/>
      <x:c r="J323" s="42"/>
      <x:c r="K323" s="42" t="str">
        <x:v>empty CSV field; never implicit zero</x:v>
      </x:c>
      <x:c r="L323" s="42" t="str">
        <x:v>data/observations_long.csv; metadata/raw_to_analytic.csv</x:v>
      </x:c>
    </x:row>
    <x:row r="324" ht="36" customHeight="1">
      <x:c r="A324" s="41" t="str">
        <x:v>source_observations</x:v>
      </x:c>
      <x:c r="B324" s="41" t="str">
        <x:v>original_unit</x:v>
      </x:c>
      <x:c r="C324" s="41" t="str">
        <x:v>Original unit</x:v>
      </x:c>
      <x:c r="D324" s="41" t="str">
        <x:v>Verbatim source/transcription unit before release normalization.</x:v>
      </x:c>
      <x:c r="E324" s="41" t="str">
        <x:v>string</x:v>
      </x:c>
      <x:c r="F324" s="41"/>
      <x:c r="G324" s="41" t="str">
        <x:v>provenance_or_identifier</x:v>
      </x:c>
      <x:c r="H324" s="41"/>
      <x:c r="I324" s="41"/>
      <x:c r="J324" s="41"/>
      <x:c r="K324" s="41" t="str">
        <x:v>empty CSV field; never implicit zero</x:v>
      </x:c>
      <x:c r="L324" s="41" t="str">
        <x:v>data/observations_long.csv; metadata/raw_to_analytic.csv</x:v>
      </x:c>
    </x:row>
    <x:row r="325" ht="36" customHeight="1">
      <x:c r="A325" s="42" t="str">
        <x:v>source_observations</x:v>
      </x:c>
      <x:c r="B325" s="42" t="str">
        <x:v>value_status</x:v>
      </x:c>
      <x:c r="C325" s="42" t="str">
        <x:v>Value status</x:v>
      </x:c>
      <x:c r="D325" s="42" t="str">
        <x:v>Reported, derived, source dash, unavailable, not comparable or another explicit code defined in metadata/value_status_codes.csv.</x:v>
      </x:c>
      <x:c r="E325" s="42" t="str">
        <x:v>string</x:v>
      </x:c>
      <x:c r="F325" s="42"/>
      <x:c r="G325" s="42" t="str">
        <x:v>provenance_or_identifier</x:v>
      </x:c>
      <x:c r="H325" s="42"/>
      <x:c r="I325" s="42"/>
      <x:c r="J325" s="42"/>
      <x:c r="K325" s="42" t="str">
        <x:v>empty CSV field; never implicit zero</x:v>
      </x:c>
      <x:c r="L325" s="42" t="str">
        <x:v>data/observations_long.csv; metadata/raw_to_analytic.csv</x:v>
      </x:c>
    </x:row>
    <x:row r="326" ht="36" customHeight="1">
      <x:c r="A326" s="41" t="str">
        <x:v>source_observations</x:v>
      </x:c>
      <x:c r="B326" s="41" t="str">
        <x:v>original_symbol</x:v>
      </x:c>
      <x:c r="C326" s="41" t="str">
        <x:v>Original symbol</x:v>
      </x:c>
      <x:c r="D326" s="41" t="str">
        <x:v>Literal source dash when known; empty does not certify that the original source printed a blank.</x:v>
      </x:c>
      <x:c r="E326" s="41" t="str">
        <x:v>string</x:v>
      </x:c>
      <x:c r="F326" s="41"/>
      <x:c r="G326" s="41" t="str">
        <x:v>provenance_or_identifier</x:v>
      </x:c>
      <x:c r="H326" s="41"/>
      <x:c r="I326" s="41"/>
      <x:c r="J326" s="41"/>
      <x:c r="K326" s="41" t="str">
        <x:v>empty CSV field; never implicit zero</x:v>
      </x:c>
      <x:c r="L326" s="41" t="str">
        <x:v>data/observations_long.csv; metadata/raw_to_analytic.csv</x:v>
      </x:c>
    </x:row>
    <x:row r="327" ht="36" customHeight="1">
      <x:c r="A327" s="42" t="str">
        <x:v>source_observations</x:v>
      </x:c>
      <x:c r="B327" s="42" t="str">
        <x:v>original_note</x:v>
      </x:c>
      <x:c r="C327" s="42" t="str">
        <x:v>Original note</x:v>
      </x:c>
      <x:c r="D327" s="42" t="str">
        <x:v>Verbatim accepted source note, including Czech notes where present.</x:v>
      </x:c>
      <x:c r="E327" s="42" t="str">
        <x:v>string</x:v>
      </x:c>
      <x:c r="F327" s="42"/>
      <x:c r="G327" s="42" t="str">
        <x:v>provenance_or_identifier</x:v>
      </x:c>
      <x:c r="H327" s="42"/>
      <x:c r="I327" s="42"/>
      <x:c r="J327" s="42"/>
      <x:c r="K327" s="42" t="str">
        <x:v>empty CSV field; never implicit zero</x:v>
      </x:c>
      <x:c r="L327" s="42" t="str">
        <x:v>data/observations_long.csv; metadata/raw_to_analytic.csv</x:v>
      </x:c>
    </x:row>
    <x:row r="328" ht="36" customHeight="1">
      <x:c r="A328" s="41" t="str">
        <x:v>source_observations</x:v>
      </x:c>
      <x:c r="B328" s="41" t="str">
        <x:v>printed_pages</x:v>
      </x:c>
      <x:c r="C328" s="41" t="str">
        <x:v>Printed pages</x:v>
      </x:c>
      <x:c r="D328" s="41" t="str">
        <x:v>Page numbers printed in the historical publication.</x:v>
      </x:c>
      <x:c r="E328" s="41" t="str">
        <x:v>string</x:v>
      </x:c>
      <x:c r="F328" s="41"/>
      <x:c r="G328" s="41" t="str">
        <x:v>provenance_or_identifier</x:v>
      </x:c>
      <x:c r="H328" s="41"/>
      <x:c r="I328" s="41"/>
      <x:c r="J328" s="41"/>
      <x:c r="K328" s="41" t="str">
        <x:v>empty CSV field; never implicit zero</x:v>
      </x:c>
      <x:c r="L328" s="41" t="str">
        <x:v>data/observations_long.csv; metadata/raw_to_analytic.csv</x:v>
      </x:c>
    </x:row>
    <x:row r="329" ht="36" customHeight="1">
      <x:c r="A329" s="42" t="str">
        <x:v>source_observations</x:v>
      </x:c>
      <x:c r="B329" s="42" t="str">
        <x:v>pdf_pages</x:v>
      </x:c>
      <x:c r="C329" s="42" t="str">
        <x:v>Pdf pages</x:v>
      </x:c>
      <x:c r="D329" s="42" t="str">
        <x:v>One-based page positions in the consulted PDF file.</x:v>
      </x:c>
      <x:c r="E329" s="42" t="str">
        <x:v>string</x:v>
      </x:c>
      <x:c r="F329" s="42"/>
      <x:c r="G329" s="42" t="str">
        <x:v>provenance_or_identifier</x:v>
      </x:c>
      <x:c r="H329" s="42"/>
      <x:c r="I329" s="42"/>
      <x:c r="J329" s="42"/>
      <x:c r="K329" s="42" t="str">
        <x:v>empty CSV field; never implicit zero</x:v>
      </x:c>
      <x:c r="L329" s="42" t="str">
        <x:v>data/observations_long.csv; metadata/raw_to_analytic.csv</x:v>
      </x:c>
    </x:row>
    <x:row r="330" ht="36" customHeight="1">
      <x:c r="A330" s="41" t="str">
        <x:v>source_observations</x:v>
      </x:c>
      <x:c r="B330" s="41" t="str">
        <x:v>population_id</x:v>
      </x:c>
      <x:c r="C330" s="41" t="str">
        <x:v>Population id</x:v>
      </x:c>
      <x:c r="D330" s="41" t="str">
        <x:v>Join key to metadata/population_definitions.csv; populations must not be pooled or added without a defined bridge.</x:v>
      </x:c>
      <x:c r="E330" s="41" t="str">
        <x:v>string</x:v>
      </x:c>
      <x:c r="F330" s="41"/>
      <x:c r="G330" s="41" t="str">
        <x:v>provenance_or_identifier</x:v>
      </x:c>
      <x:c r="H330" s="41"/>
      <x:c r="I330" s="41"/>
      <x:c r="J330" s="41"/>
      <x:c r="K330" s="41" t="str">
        <x:v>empty CSV field; never implicit zero</x:v>
      </x:c>
      <x:c r="L330" s="41" t="str">
        <x:v>data/observations_long.csv; metadata/raw_to_analytic.csv</x:v>
      </x:c>
    </x:row>
    <x:row r="331" ht="36" customHeight="1">
      <x:c r="A331" s="42" t="str">
        <x:v>source_observations</x:v>
      </x:c>
      <x:c r="B331" s="42" t="str">
        <x:v>original_frequency</x:v>
      </x:c>
      <x:c r="C331" s="42" t="str">
        <x:v>Original frequency</x:v>
      </x:c>
      <x:c r="D331" s="42" t="str">
        <x:v>Verbatim frequency convention in the accepted source ledger.</x:v>
      </x:c>
      <x:c r="E331" s="42" t="str">
        <x:v>string</x:v>
      </x:c>
      <x:c r="F331" s="42"/>
      <x:c r="G331" s="42" t="str">
        <x:v>provenance_or_identifier</x:v>
      </x:c>
      <x:c r="H331" s="42"/>
      <x:c r="I331" s="42"/>
      <x:c r="J331" s="42"/>
      <x:c r="K331" s="42" t="str">
        <x:v>empty CSV field; never implicit zero</x:v>
      </x:c>
      <x:c r="L331" s="42" t="str">
        <x:v>data/observations_long.csv; metadata/raw_to_analytic.csv</x:v>
      </x:c>
    </x:row>
    <x:row r="332" ht="36" customHeight="1">
      <x:c r="A332" s="41" t="str">
        <x:v>observations_long</x:v>
      </x:c>
      <x:c r="B332" s="41" t="str">
        <x:v>observation_id</x:v>
      </x:c>
      <x:c r="C332" s="41" t="str">
        <x:v>Observation id</x:v>
      </x:c>
      <x:c r="D332" s="41" t="str">
        <x:v>Stable analytical-cell key: dataset_id:entity_id:year:variable_id.</x:v>
      </x:c>
      <x:c r="E332" s="41" t="str">
        <x:v>string</x:v>
      </x:c>
      <x:c r="F332" s="41"/>
      <x:c r="G332" s="41" t="str">
        <x:v>provenance_or_identifier</x:v>
      </x:c>
      <x:c r="H332" s="41"/>
      <x:c r="I332" s="41"/>
      <x:c r="J332" s="41"/>
      <x:c r="K332" s="41" t="str">
        <x:v>empty CSV field; never implicit zero</x:v>
      </x:c>
      <x:c r="L332" s="41" t="str">
        <x:v>data/observations_long.csv; metadata/raw_to_analytic.csv</x:v>
      </x:c>
    </x:row>
    <x:row r="333" ht="36" customHeight="1">
      <x:c r="A333" s="42" t="str">
        <x:v>observations_long</x:v>
      </x:c>
      <x:c r="B333" s="42" t="str">
        <x:v>dataset_id</x:v>
      </x:c>
      <x:c r="C333" s="42" t="str">
        <x:v>Dataset id</x:v>
      </x:c>
      <x:c r="D333" s="42" t="str">
        <x:v>Identifier of the source analytical table; join to metadata/dataset_index.csv.</x:v>
      </x:c>
      <x:c r="E333" s="42" t="str">
        <x:v>string</x:v>
      </x:c>
      <x:c r="F333" s="42"/>
      <x:c r="G333" s="42" t="str">
        <x:v>provenance_or_identifier</x:v>
      </x:c>
      <x:c r="H333" s="42"/>
      <x:c r="I333" s="42"/>
      <x:c r="J333" s="42"/>
      <x:c r="K333" s="42" t="str">
        <x:v>empty CSV field; never implicit zero</x:v>
      </x:c>
      <x:c r="L333" s="42" t="str">
        <x:v>data/observations_long.csv; metadata/raw_to_analytic.csv</x:v>
      </x:c>
    </x:row>
    <x:row r="334" ht="36" customHeight="1">
      <x:c r="A334" s="41" t="str">
        <x:v>observations_long</x:v>
      </x:c>
      <x:c r="B334" s="41" t="str">
        <x:v>entity_id</x:v>
      </x:c>
      <x:c r="C334" s="41" t="str">
        <x:v>Entity id</x:v>
      </x:c>
      <x:c r="D334" s="41" t="str">
        <x:v>Aggregate, bank, event or category identifier. Interpret with dataset_id and population_id.</x:v>
      </x:c>
      <x:c r="E334" s="41" t="str">
        <x:v>string</x:v>
      </x:c>
      <x:c r="F334" s="41"/>
      <x:c r="G334" s="41" t="str">
        <x:v>provenance_or_identifier</x:v>
      </x:c>
      <x:c r="H334" s="41"/>
      <x:c r="I334" s="41"/>
      <x:c r="J334" s="41"/>
      <x:c r="K334" s="41" t="str">
        <x:v>empty CSV field; never implicit zero</x:v>
      </x:c>
      <x:c r="L334" s="41" t="str">
        <x:v>data/observations_long.csv; metadata/raw_to_analytic.csv</x:v>
      </x:c>
    </x:row>
    <x:row r="335" ht="36" customHeight="1">
      <x:c r="A335" s="42" t="str">
        <x:v>observations_long</x:v>
      </x:c>
      <x:c r="B335" s="42" t="str">
        <x:v>year</x:v>
      </x:c>
      <x:c r="C335" s="42" t="str">
        <x:v>Year</x:v>
      </x:c>
      <x:c r="D335" s="42" t="str">
        <x:v>Calendar year of the observation; balance-sheet stocks are year-end unless a source-date field says otherwise.</x:v>
      </x:c>
      <x:c r="E335" s="42" t="str">
        <x:v>integer</x:v>
      </x:c>
      <x:c r="F335" s="42"/>
      <x:c r="G335" s="42" t="str">
        <x:v>provenance_or_identifier</x:v>
      </x:c>
      <x:c r="H335" s="42"/>
      <x:c r="I335" s="42"/>
      <x:c r="J335" s="42"/>
      <x:c r="K335" s="42" t="str">
        <x:v>empty CSV field; never implicit zero</x:v>
      </x:c>
      <x:c r="L335" s="42" t="str">
        <x:v>data/observations_long.csv; metadata/raw_to_analytic.csv</x:v>
      </x:c>
    </x:row>
    <x:row r="336" ht="36" customHeight="1">
      <x:c r="A336" s="41" t="str">
        <x:v>observations_long</x:v>
      </x:c>
      <x:c r="B336" s="41" t="str">
        <x:v>variable_id</x:v>
      </x:c>
      <x:c r="C336" s="41" t="str">
        <x:v>Variable id</x:v>
      </x:c>
      <x:c r="D336" s="41" t="str">
        <x:v>Variable identifier within dataset_id; join to the variable dictionary.</x:v>
      </x:c>
      <x:c r="E336" s="41" t="str">
        <x:v>string</x:v>
      </x:c>
      <x:c r="F336" s="41"/>
      <x:c r="G336" s="41" t="str">
        <x:v>provenance_or_identifier</x:v>
      </x:c>
      <x:c r="H336" s="41"/>
      <x:c r="I336" s="41"/>
      <x:c r="J336" s="41"/>
      <x:c r="K336" s="41" t="str">
        <x:v>empty CSV field; never implicit zero</x:v>
      </x:c>
      <x:c r="L336" s="41" t="str">
        <x:v>data/observations_long.csv; metadata/raw_to_analytic.csv</x:v>
      </x:c>
    </x:row>
    <x:row r="337" ht="36" customHeight="1">
      <x:c r="A337" s="42" t="str">
        <x:v>observations_long</x:v>
      </x:c>
      <x:c r="B337" s="42" t="str">
        <x:v>value</x:v>
      </x:c>
      <x:c r="C337" s="42" t="str">
        <x:v>Value</x:v>
      </x:c>
      <x:c r="D337" s="42" t="str">
        <x:v>Numeric value, or empty for unavailable/inapplicable observations. Interpret value_status, observation_type and unit.</x:v>
      </x:c>
      <x:c r="E337" s="42" t="str">
        <x:v>number</x:v>
      </x:c>
      <x:c r="F337" s="42"/>
      <x:c r="G337" s="42" t="str">
        <x:v>measure</x:v>
      </x:c>
      <x:c r="H337" s="42"/>
      <x:c r="I337" s="42"/>
      <x:c r="J337" s="42"/>
      <x:c r="K337" s="42" t="str">
        <x:v>empty CSV field; never implicit zero</x:v>
      </x:c>
      <x:c r="L337" s="42" t="str">
        <x:v>data/observations_long.csv; metadata/raw_to_analytic.csv</x:v>
      </x:c>
    </x:row>
    <x:row r="338" ht="36" customHeight="1">
      <x:c r="A338" s="41" t="str">
        <x:v>observations_long</x:v>
      </x:c>
      <x:c r="B338" s="41" t="str">
        <x:v>unit</x:v>
      </x:c>
      <x:c r="C338" s="41" t="str">
        <x:v>Unit</x:v>
      </x:c>
      <x:c r="D338" s="41" t="str">
        <x:v>Machine-readable measurement unit. row_unit means read the unit column of that row.</x:v>
      </x:c>
      <x:c r="E338" s="41" t="str">
        <x:v>string</x:v>
      </x:c>
      <x:c r="F338" s="41"/>
      <x:c r="G338" s="41" t="str">
        <x:v>provenance_or_identifier</x:v>
      </x:c>
      <x:c r="H338" s="41"/>
      <x:c r="I338" s="41"/>
      <x:c r="J338" s="41"/>
      <x:c r="K338" s="41" t="str">
        <x:v>empty CSV field; never implicit zero</x:v>
      </x:c>
      <x:c r="L338" s="41" t="str">
        <x:v>data/observations_long.csv; metadata/raw_to_analytic.csv</x:v>
      </x:c>
    </x:row>
    <x:row r="339" ht="36" customHeight="1">
      <x:c r="A339" s="42" t="str">
        <x:v>observations_long</x:v>
      </x:c>
      <x:c r="B339" s="42" t="str">
        <x:v>population_id</x:v>
      </x:c>
      <x:c r="C339" s="42" t="str">
        <x:v>Population id</x:v>
      </x:c>
      <x:c r="D339" s="42" t="str">
        <x:v>Join key to metadata/population_definitions.csv; populations must not be pooled or added without a defined bridge.</x:v>
      </x:c>
      <x:c r="E339" s="42" t="str">
        <x:v>string</x:v>
      </x:c>
      <x:c r="F339" s="42"/>
      <x:c r="G339" s="42" t="str">
        <x:v>provenance_or_identifier</x:v>
      </x:c>
      <x:c r="H339" s="42"/>
      <x:c r="I339" s="42"/>
      <x:c r="J339" s="42"/>
      <x:c r="K339" s="42" t="str">
        <x:v>empty CSV field; never implicit zero</x:v>
      </x:c>
      <x:c r="L339" s="42" t="str">
        <x:v>data/observations_long.csv; metadata/raw_to_analytic.csv</x:v>
      </x:c>
    </x:row>
    <x:row r="340" ht="36" customHeight="1">
      <x:c r="A340" s="41" t="str">
        <x:v>observations_long</x:v>
      </x:c>
      <x:c r="B340" s="41" t="str">
        <x:v>observation_type</x:v>
      </x:c>
      <x:c r="C340" s="41" t="str">
        <x:v>Observation type</x:v>
      </x:c>
      <x:c r="D340" s="41" t="str">
        <x:v>reported or derived. Status additionally distinguishes missingness and the accepted national dash-to-zero convention.</x:v>
      </x:c>
      <x:c r="E340" s="41" t="str">
        <x:v>string</x:v>
      </x:c>
      <x:c r="F340" s="41"/>
      <x:c r="G340" s="41" t="str">
        <x:v>provenance_or_identifier</x:v>
      </x:c>
      <x:c r="H340" s="41"/>
      <x:c r="I340" s="41"/>
      <x:c r="J340" s="41"/>
      <x:c r="K340" s="41" t="str">
        <x:v>empty CSV field; never implicit zero</x:v>
      </x:c>
      <x:c r="L340" s="41" t="str">
        <x:v>data/observations_long.csv; metadata/raw_to_analytic.csv</x:v>
      </x:c>
    </x:row>
    <x:row r="341" ht="36" customHeight="1">
      <x:c r="A341" s="42" t="str">
        <x:v>observations_long</x:v>
      </x:c>
      <x:c r="B341" s="42" t="str">
        <x:v>value_status</x:v>
      </x:c>
      <x:c r="C341" s="42" t="str">
        <x:v>Value status</x:v>
      </x:c>
      <x:c r="D341" s="42" t="str">
        <x:v>Reported, derived, source dash, unavailable, not comparable or another explicit code defined in metadata/value_status_codes.csv.</x:v>
      </x:c>
      <x:c r="E341" s="42" t="str">
        <x:v>string</x:v>
      </x:c>
      <x:c r="F341" s="42"/>
      <x:c r="G341" s="42" t="str">
        <x:v>provenance_or_identifier</x:v>
      </x:c>
      <x:c r="H341" s="42"/>
      <x:c r="I341" s="42"/>
      <x:c r="J341" s="42"/>
      <x:c r="K341" s="42" t="str">
        <x:v>empty CSV field; never implicit zero</x:v>
      </x:c>
      <x:c r="L341" s="42" t="str">
        <x:v>data/observations_long.csv; metadata/raw_to_analytic.csv</x:v>
      </x:c>
    </x:row>
    <x:row r="342" ht="36" customHeight="1">
      <x:c r="A342" s="41" t="str">
        <x:v>observations_long</x:v>
      </x:c>
      <x:c r="B342" s="41" t="str">
        <x:v>source_ids</x:v>
      </x:c>
      <x:c r="C342" s="41" t="str">
        <x:v>Source ids</x:v>
      </x:c>
      <x:c r="D342" s="41" t="str">
        <x:v>Semicolon-separated source identifiers joining metadata/source_index.csv.</x:v>
      </x:c>
      <x:c r="E342" s="41" t="str">
        <x:v>string</x:v>
      </x:c>
      <x:c r="F342" s="41"/>
      <x:c r="G342" s="41" t="str">
        <x:v>provenance_or_identifier</x:v>
      </x:c>
      <x:c r="H342" s="41"/>
      <x:c r="I342" s="41"/>
      <x:c r="J342" s="41"/>
      <x:c r="K342" s="41" t="str">
        <x:v>empty CSV field; never implicit zero</x:v>
      </x:c>
      <x:c r="L342" s="41" t="str">
        <x:v>data/observations_long.csv; metadata/raw_to_analytic.csv</x:v>
      </x:c>
    </x:row>
    <x:row r="343" ht="36" customHeight="1">
      <x:c r="A343" s="42" t="str">
        <x:v>observations_long</x:v>
      </x:c>
      <x:c r="B343" s="42" t="str">
        <x:v>source_record_ids</x:v>
      </x:c>
      <x:c r="C343" s="42" t="str">
        <x:v>Source record ids</x:v>
      </x:c>
      <x:c r="D343" s="42" t="str">
        <x:v>Semicolon-separated accepted source record or bank-table-cell identifiers; exact mappings are in metadata/raw_to_analytic.csv.</x:v>
      </x:c>
      <x:c r="E343" s="42" t="str">
        <x:v>string</x:v>
      </x:c>
      <x:c r="F343" s="42"/>
      <x:c r="G343" s="42" t="str">
        <x:v>provenance_or_identifier</x:v>
      </x:c>
      <x:c r="H343" s="42"/>
      <x:c r="I343" s="42"/>
      <x:c r="J343" s="42"/>
      <x:c r="K343" s="42" t="str">
        <x:v>empty CSV field; never implicit zero</x:v>
      </x:c>
      <x:c r="L343" s="42" t="str">
        <x:v>data/observations_long.csv; metadata/raw_to_analytic.csv</x:v>
      </x:c>
    </x:row>
    <x:row r="344" ht="36" customHeight="1">
      <x:c r="A344" s="41" t="str">
        <x:v>observations_long</x:v>
      </x:c>
      <x:c r="B344" s="41" t="str">
        <x:v>source_pages</x:v>
      </x:c>
      <x:c r="C344" s="41" t="str">
        <x:v>Source pages</x:v>
      </x:c>
      <x:c r="D344" s="41" t="str">
        <x:v>Printed and/or digital source locations; digital handbook page numbers are not original-edition pagination.</x:v>
      </x:c>
      <x:c r="E344" s="41" t="str">
        <x:v>string</x:v>
      </x:c>
      <x:c r="F344" s="41"/>
      <x:c r="G344" s="41" t="str">
        <x:v>provenance_or_identifier</x:v>
      </x:c>
      <x:c r="H344" s="41"/>
      <x:c r="I344" s="41"/>
      <x:c r="J344" s="41"/>
      <x:c r="K344" s="41" t="str">
        <x:v>empty CSV field; never implicit zero</x:v>
      </x:c>
      <x:c r="L344" s="41" t="str">
        <x:v>data/observations_long.csv; metadata/raw_to_analytic.csv</x:v>
      </x:c>
    </x:row>
    <x:row r="345" ht="36" customHeight="1">
      <x:c r="A345" s="42" t="str">
        <x:v>observations_long</x:v>
      </x:c>
      <x:c r="B345" s="42" t="str">
        <x:v>original_symbol</x:v>
      </x:c>
      <x:c r="C345" s="42" t="str">
        <x:v>Original symbol</x:v>
      </x:c>
      <x:c r="D345" s="42" t="str">
        <x:v>Literal source dash when known; empty does not certify that the original source printed a blank.</x:v>
      </x:c>
      <x:c r="E345" s="42" t="str">
        <x:v>string</x:v>
      </x:c>
      <x:c r="F345" s="42"/>
      <x:c r="G345" s="42" t="str">
        <x:v>provenance_or_identifier</x:v>
      </x:c>
      <x:c r="H345" s="42"/>
      <x:c r="I345" s="42"/>
      <x:c r="J345" s="42"/>
      <x:c r="K345" s="42" t="str">
        <x:v>empty CSV field; never implicit zero</x:v>
      </x:c>
      <x:c r="L345" s="42" t="str">
        <x:v>data/observations_long.csv; metadata/raw_to_analytic.csv</x:v>
      </x:c>
    </x:row>
    <x:row r="346" ht="36" customHeight="1">
      <x:c r="A346" s="41" t="str">
        <x:v>observations_long</x:v>
      </x:c>
      <x:c r="B346" s="41" t="str">
        <x:v>flags</x:v>
      </x:c>
      <x:c r="C346" s="41" t="str">
        <x:v>Flags</x:v>
      </x:c>
      <x:c r="D346" s="41" t="str">
        <x:v>Semicolon-separated source or comparability exception codes; empty means no listed exception, not an assurance of universal comparability.</x:v>
      </x:c>
      <x:c r="E346" s="41" t="str">
        <x:v>string</x:v>
      </x:c>
      <x:c r="F346" s="41"/>
      <x:c r="G346" s="41" t="str">
        <x:v>provenance_or_identifier</x:v>
      </x:c>
      <x:c r="H346" s="41"/>
      <x:c r="I346" s="41"/>
      <x:c r="J346" s="41"/>
      <x:c r="K346" s="41" t="str">
        <x:v>empty CSV field; never implicit zero</x:v>
      </x:c>
      <x:c r="L346" s="41" t="str">
        <x:v>data/observations_long.csv; metadata/raw_to_analytic.csv</x:v>
      </x:c>
    </x:row>
    <x:row r="347" ht="36" customHeight="1">
      <x:c r="A347" s="42" t="str">
        <x:v>observations_long</x:v>
      </x:c>
      <x:c r="B347" s="42" t="str">
        <x:v>notes</x:v>
      </x:c>
      <x:c r="C347" s="42" t="str">
        <x:v>Notes</x:v>
      </x:c>
      <x:c r="D347" s="42" t="str">
        <x:v>Observation-specific interpretation or source qualification.</x:v>
      </x:c>
      <x:c r="E347" s="42" t="str">
        <x:v>string</x:v>
      </x:c>
      <x:c r="F347" s="42"/>
      <x:c r="G347" s="42" t="str">
        <x:v>provenance_or_identifier</x:v>
      </x:c>
      <x:c r="H347" s="42"/>
      <x:c r="I347" s="42"/>
      <x:c r="J347" s="42"/>
      <x:c r="K347" s="42" t="str">
        <x:v>empty CSV field; never implicit zero</x:v>
      </x:c>
      <x:c r="L347" s="42" t="str">
        <x:v>data/observations_long.csv; metadata/raw_to_analytic.csv</x:v>
      </x:c>
    </x:row>
  </x:sheetData>
  <x:pageMargins left="0.7" right="0.7" top="0.75" bottom="0.75" header="0.3" footer="0.3"/>
  <x:tableParts count="1">
    <x:tablePart xmlns:r="http://schemas.openxmlformats.org/officeDocument/2006/relationships" r:id="Rc2335b1b843e4ac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.559999465942383" hidden="0" customWidth="1"/>
    <x:col min="2" max="2" width="28.889999389648438" hidden="0" customWidth="1"/>
    <x:col min="3" max="3" width="37.779998779296875" hidden="0" customWidth="1"/>
    <x:col min="4" max="4" width="51.11000061035156" hidden="0" customWidth="1"/>
    <x:col min="5" max="5" width="38.88999938964844" hidden="0" customWidth="1"/>
    <x:col min="6" max="6" width="52.220001220703125" hidden="0" customWidth="1"/>
    <x:col min="7" max="7" width="32.220001220703125" hidden="0" customWidth="1"/>
    <x:col min="8" max="8" width="51.1100006103515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Sources and record provenance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2"/>
    </x:row>
    <x:row r="3" ht="20" customHeight="1">
      <x:c r="A3" s="6" t="str">
        <x:v>Source codes identify publications and consulted editions. This workbook does not bundle scans.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2"/>
    </x:row>
    <x:row r="4" ht="20" customHeight="1">
      <x:c r="A4" s="6" t="str">
        <x:v>Kašpar bank values come from a modern retyping with PDF metadata dated 2006. Original annual reports have not been verified.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8" customHeight="1">
      <x:c r="A7" s="15" t="str">
        <x:v>source id</x:v>
      </x:c>
      <x:c r="B7" s="16" t="str">
        <x:v>publication year</x:v>
      </x:c>
      <x:c r="C7" s="16" t="str">
        <x:v>title</x:v>
      </x:c>
      <x:c r="D7" s="16" t="str">
        <x:v>source url</x:v>
      </x:c>
      <x:c r="E7" s="16" t="str">
        <x:v>consulted edition</x:v>
      </x:c>
      <x:c r="F7" s="17" t="str">
        <x:v>verification scope</x:v>
      </x:c>
      <x:c r="G7" s="2"/>
      <x:c r="H7" s="2"/>
      <x:c r="I7" s="2"/>
      <x:c r="J7" s="2"/>
      <x:c r="K7" s="2"/>
      <x:c r="L7" s="2"/>
      <x:c r="M7" s="2"/>
      <x:c r="N7" s="2"/>
    </x:row>
    <x:row r="8" ht="36" customHeight="1">
      <x:c r="A8" s="41" t="str">
        <x:v>LON_CB_1931</x:v>
      </x:c>
      <x:c r="B8" s="46" t="n">
        <x:v>1931</x:v>
      </x:c>
      <x:c r="C8" s="41" t="str">
        <x:v>Memorandum on Commercial Banks, 1913–1929</x:v>
      </x:c>
      <x:c r="D8" s="41"/>
      <x:c r="E8" s="41" t="str">
        <x:v>User-supplied historical PDF scan</x:v>
      </x:c>
      <x:c r="F8" s="41" t="str">
        <x:v>Accepted source table transcription, with visual verification recorded in the original source catalogue.</x:v>
      </x:c>
      <x:c r="G8" s="2"/>
      <x:c r="H8" s="2"/>
      <x:c r="I8" s="2"/>
      <x:c r="J8" s="2"/>
      <x:c r="K8" s="2"/>
      <x:c r="L8" s="2"/>
      <x:c r="M8" s="2"/>
      <x:c r="N8" s="2"/>
    </x:row>
    <x:row r="9" ht="36" customHeight="1">
      <x:c r="A9" s="42" t="str">
        <x:v>LON_CB_1934</x:v>
      </x:c>
      <x:c r="B9" s="47" t="n">
        <x:v>1934</x:v>
      </x:c>
      <x:c r="C9" s="42" t="str">
        <x:v>Commercial Banks, 1925–1933</x:v>
      </x:c>
      <x:c r="D9" s="42"/>
      <x:c r="E9" s="42" t="str">
        <x:v>User-supplied historical PDF scan</x:v>
      </x:c>
      <x:c r="F9" s="42" t="str">
        <x:v>Accepted source table transcription, with visual verification recorded in the original source catalogue.</x:v>
      </x:c>
      <x:c r="G9" s="2"/>
      <x:c r="H9" s="2"/>
      <x:c r="I9" s="2"/>
      <x:c r="J9" s="2"/>
      <x:c r="K9" s="2"/>
      <x:c r="L9" s="2"/>
      <x:c r="M9" s="2"/>
      <x:c r="N9" s="2"/>
    </x:row>
    <x:row r="10" ht="36" customHeight="1">
      <x:c r="A10" s="41" t="str">
        <x:v>LON_CB_1935</x:v>
      </x:c>
      <x:c r="B10" s="46" t="n">
        <x:v>1935</x:v>
      </x:c>
      <x:c r="C10" s="41" t="str">
        <x:v>Commercial Banks, 1929–1934</x:v>
      </x:c>
      <x:c r="D10" s="41"/>
      <x:c r="E10" s="41" t="str">
        <x:v>User-supplied historical PDF scan</x:v>
      </x:c>
      <x:c r="F10" s="41" t="str">
        <x:v>Accepted source table transcription, with visual verification recorded in the original source catalogue.</x:v>
      </x:c>
      <x:c r="G10" s="2"/>
      <x:c r="H10" s="2"/>
      <x:c r="I10" s="2"/>
      <x:c r="J10" s="2"/>
      <x:c r="K10" s="2"/>
      <x:c r="L10" s="2"/>
      <x:c r="M10" s="2"/>
      <x:c r="N10" s="2"/>
    </x:row>
    <x:row r="11" ht="36" customHeight="1">
      <x:c r="A11" s="42" t="str">
        <x:v>LON_CB_1939</x:v>
      </x:c>
      <x:c r="B11" s="47" t="n">
        <x:v>1939</x:v>
      </x:c>
      <x:c r="C11" s="42" t="str">
        <x:v>Money and Banking 1938/39, Volume II: Commercial and Central Banks</x:v>
      </x:c>
      <x:c r="D11" s="42"/>
      <x:c r="E11" s="42" t="str">
        <x:v>User-supplied historical PDF scan</x:v>
      </x:c>
      <x:c r="F11" s="42" t="str">
        <x:v>Accepted source table transcription, with visual verification recorded in the original source catalogue.</x:v>
      </x:c>
      <x:c r="G11" s="2"/>
      <x:c r="H11" s="2"/>
      <x:c r="I11" s="2"/>
      <x:c r="J11" s="2"/>
      <x:c r="K11" s="2"/>
      <x:c r="L11" s="2"/>
      <x:c r="M11" s="2"/>
      <x:c r="N11" s="2"/>
    </x:row>
    <x:row r="12" ht="36" customHeight="1">
      <x:c r="A12" s="41" t="str">
        <x:v>LON_CB_1938</x:v>
      </x:c>
      <x:c r="B12" s="46" t="n">
        <x:v>1938</x:v>
      </x:c>
      <x:c r="C12" s="41" t="str">
        <x:v>Money and Banking 1937/38, Volume II: Commercial and Central Banks</x:v>
      </x:c>
      <x:c r="D12" s="41"/>
      <x:c r="E12" s="41" t="str">
        <x:v>User-supplied historical PDF scan</x:v>
      </x:c>
      <x:c r="F12" s="41" t="str">
        <x:v>Accepted source table transcription, with visual verification recorded in the original source catalogue.</x:v>
      </x:c>
      <x:c r="G12" s="2"/>
      <x:c r="H12" s="2"/>
      <x:c r="I12" s="2"/>
      <x:c r="J12" s="2"/>
      <x:c r="K12" s="2"/>
      <x:c r="L12" s="2"/>
      <x:c r="M12" s="2"/>
      <x:c r="N12" s="2"/>
    </x:row>
    <x:row r="13" ht="36" customHeight="1">
      <x:c r="A13" s="42" t="str">
        <x:v>KASPAR_1938_1939_RETYPED_2006</x:v>
      </x:c>
      <x:c r="B13" s="47" t="n">
        <x:v>1938</x:v>
      </x:c>
      <x:c r="C13" s="42" t="str">
        <x:v>Československé bursovní papíry 1938–1939 [Czechoslovak Stock-Exchange Securities, 1938–1939]</x:v>
      </x:c>
      <x:c r="D13" s="42" t="str">
        <x:v>https://www.securityprinting.org/texty/1938_1939/csbp_1938_1939.pdf</x:v>
      </x:c>
      <x:c r="E13" s="42" t="str">
        <x:v>Modern retyping; PDF metadata 2006</x:v>
      </x:c>
      <x:c r="F13" s="42" t="str">
        <x:v>Twenty account-table pages visually checked in this edition. Original bank annual-report facsimiles have not been independently verified.</x:v>
      </x:c>
      <x:c r="G13" s="2"/>
      <x:c r="H13" s="2"/>
      <x:c r="I13" s="2"/>
      <x:c r="J13" s="2"/>
      <x:c r="K13" s="2"/>
      <x:c r="L13" s="2"/>
      <x:c r="M13" s="2"/>
      <x:c r="N13" s="2"/>
    </x:row>
    <x:row r="14" ht="36" customHeight="1">
      <x:c r="A14" s="41" t="str">
        <x:v>NATIONAL_1932</x:v>
      </x:c>
      <x:c r="B14" s="46" t="n">
        <x:v>1932</x:v>
      </x:c>
      <x:c r="C14" s="41" t="str">
        <x:v>Statistická příručka republiky Československé IV [Statistical Handbook of the Czechoslovak Republic, IV]</x:v>
      </x:c>
      <x:c r="D14" s="41"/>
      <x:c r="E14" s="41" t="str">
        <x:v>User-supplied original scan, part 4, PDF pages 7-9 / printed pages 259-261</x:v>
      </x:c>
      <x:c r="F14" s="41" t="str">
        <x:v>Named 1929 roster and aggregate controls visually checked; five column totals reconcile.</x:v>
      </x:c>
      <x:c r="G14" s="2"/>
      <x:c r="H14" s="2"/>
      <x:c r="I14" s="2"/>
      <x:c r="J14" s="2"/>
      <x:c r="K14" s="2"/>
      <x:c r="L14" s="2"/>
      <x:c r="M14" s="2"/>
      <x:c r="N14" s="2"/>
    </x:row>
    <x:row r="15" ht="36" customHeight="1">
      <x:c r="A15" s="42" t="str">
        <x:v>WPI_READER_20261023</x:v>
      </x:c>
      <x:c r="B15" s="47" t="n">
        <x:v>2026</x:v>
      </x:c>
      <x:c r="C15" s="42" t="str">
        <x:v>Czechoslovak National Bank monthly price data: revised reader edition</x:v>
      </x:c>
      <x:c r="D15" s="42" t="str">
        <x:v>https://adamdittrich.github.io/assets/files/datasets/fsi/data/monthly_raw_data.csv</x:v>
      </x:c>
      <x:c r="E15" s="42" t="str">
        <x:v>Revised reader edition, 23 October 2026</x:v>
      </x:c>
      <x:c r="F15" s="42" t="str">
        <x:v>Accepted frozen annual extract; monthly originals are not re-downloaded during rebuild.</x:v>
      </x:c>
      <x:c r="G15" s="2"/>
      <x:c r="H15" s="2"/>
      <x:c r="I15" s="2"/>
      <x:c r="J15" s="2"/>
      <x:c r="K15" s="2"/>
      <x:c r="L15" s="2"/>
      <x:c r="M15" s="2"/>
      <x:c r="N15" s="2"/>
    </x:row>
    <x:row r="16" ht="36" customHeight="1">
      <x:c r="A16" s="41" t="str">
        <x:v>CPI_LJUNGBERG_WORKBOOK</x:v>
      </x:c>
      <x:c r="B16" s="46" t="n">
        <x:v>2025</x:v>
      </x:c>
      <x:c r="C16" s="41" t="str">
        <x:v>European CPI since 1870: research workbook extract</x:v>
      </x:c>
      <x:c r="D16" s="41"/>
      <x:c r="E16" s="41" t="str">
        <x:v>Frozen research-supplied workbook cell provenance</x:v>
      </x:c>
      <x:c r="F16" s="41" t="str">
        <x:v>Exact cell values and source comment retained; original index base and within-year convention are not established by this extract.</x:v>
      </x:c>
      <x:c r="G16" s="2"/>
      <x:c r="H16" s="2"/>
      <x:c r="I16" s="2"/>
      <x:c r="J16" s="2"/>
      <x:c r="K16" s="2"/>
      <x:c r="L16" s="2"/>
      <x:c r="M16" s="2"/>
      <x:c r="N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0" customHeight="1">
      <x:c r="A21" s="39" t="str">
        <x:v>Annual observation provenance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48" customHeight="1">
      <x:c r="A23" s="15" t="str">
        <x:v>year</x:v>
      </x:c>
      <x:c r="B23" s="16" t="str">
        <x:v>population id</x:v>
      </x:c>
      <x:c r="C23" s="16" t="str">
        <x:v>source ids</x:v>
      </x:c>
      <x:c r="D23" s="16" t="str">
        <x:v>source entry ids</x:v>
      </x:c>
      <x:c r="E23" s="17" t="str">
        <x:v>flags</x:v>
      </x:c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5" customHeight="1">
      <x:c r="A24" s="19" t="n">
        <x:v>1919</x:v>
      </x:c>
      <x:c r="B24" s="41" t="str">
        <x:v>czech_lands_active_joint_stock_banks</x:v>
      </x:c>
      <x:c r="C24" s="41" t="str">
        <x:v>LON_CB_1931</x:v>
      </x:c>
      <x:c r="D24" s="41" t="str">
        <x:v>E_BANK_BS_1931;E_BANK_COMPONENTS_1931;E_BANK_PL_1931</x:v>
      </x:c>
      <x:c r="E24" s="41" t="str">
        <x:v>deposits_include_unseparated_bank_creditors</x:v>
      </x:c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5" customHeight="1">
      <x:c r="A25" s="22" t="n">
        <x:v>1920</x:v>
      </x:c>
      <x:c r="B25" s="42" t="str">
        <x:v>czech_lands_active_joint_stock_banks</x:v>
      </x:c>
      <x:c r="C25" s="42" t="str">
        <x:v>LON_CB_1931</x:v>
      </x:c>
      <x:c r="D25" s="42" t="str">
        <x:v>E_BANK_BS_1931;E_BANK_COMPONENTS_1931;E_BANK_PL_1931</x:v>
      </x:c>
      <x:c r="E25" s="4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5" customHeight="1">
      <x:c r="A26" s="19" t="n">
        <x:v>1921</x:v>
      </x:c>
      <x:c r="B26" s="41" t="str">
        <x:v>czech_lands_active_joint_stock_banks</x:v>
      </x:c>
      <x:c r="C26" s="41" t="str">
        <x:v>LON_CB_1931</x:v>
      </x:c>
      <x:c r="D26" s="41" t="str">
        <x:v>E_BANK_BS_1931;E_BANK_COMPONENTS_1931;E_BANK_PL_1931</x:v>
      </x:c>
      <x:c r="E26" s="41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5" customHeight="1">
      <x:c r="A27" s="22" t="n">
        <x:v>1922</x:v>
      </x:c>
      <x:c r="B27" s="42" t="str">
        <x:v>czech_lands_active_joint_stock_banks</x:v>
      </x:c>
      <x:c r="C27" s="42" t="str">
        <x:v>LON_CB_1931</x:v>
      </x:c>
      <x:c r="D27" s="42" t="str">
        <x:v>E_BANK_BS_1931;E_BANK_COMPONENTS_1931;E_BANK_PL_1931</x:v>
      </x:c>
      <x:c r="E27" s="4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5" customHeight="1">
      <x:c r="A28" s="19" t="n">
        <x:v>1923</x:v>
      </x:c>
      <x:c r="B28" s="41" t="str">
        <x:v>czech_lands_active_joint_stock_banks</x:v>
      </x:c>
      <x:c r="C28" s="41" t="str">
        <x:v>LON_CB_1931</x:v>
      </x:c>
      <x:c r="D28" s="41" t="str">
        <x:v>E_BANK_BS_1931;E_BANK_COMPONENTS_1931;E_BANK_PL_1931</x:v>
      </x:c>
      <x:c r="E28" s="41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5" customHeight="1">
      <x:c r="A29" s="22" t="n">
        <x:v>1924</x:v>
      </x:c>
      <x:c r="B29" s="42" t="str">
        <x:v>czech_lands_active_joint_stock_banks</x:v>
      </x:c>
      <x:c r="C29" s="42" t="str">
        <x:v>LON_CB_1931</x:v>
      </x:c>
      <x:c r="D29" s="42" t="str">
        <x:v>E_BANK_BS_1931;E_BANK_COMPONENTS_1931;E_BANK_PL_1931</x:v>
      </x:c>
      <x:c r="E29" s="4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6" customHeight="1">
      <x:c r="A30" s="19" t="n">
        <x:v>1925</x:v>
      </x:c>
      <x:c r="B30" s="41" t="str">
        <x:v>czech_lands_active_joint_stock_banks</x:v>
      </x:c>
      <x:c r="C30" s="41" t="str">
        <x:v>LON_CB_1934</x:v>
      </x:c>
      <x:c r="D30" s="41" t="str">
        <x:v>E_BANK_BS_1931;E_BANK_BS_1934;E_BANK_COMPONENTS_1931;E_BANK_COMPONENTS_1934;E_BANK_PL_1931;E_BANK_PL_1934</x:v>
      </x:c>
      <x:c r="E30" s="41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5" customHeight="1">
      <x:c r="A31" s="22" t="n">
        <x:v>1926</x:v>
      </x:c>
      <x:c r="B31" s="42" t="str">
        <x:v>czech_lands_active_joint_stock_banks</x:v>
      </x:c>
      <x:c r="C31" s="42" t="str">
        <x:v>LON_CB_1931</x:v>
      </x:c>
      <x:c r="D31" s="42" t="str">
        <x:v>E_BANK_BS_1931;E_BANK_COMPONENTS_1931;E_BANK_PL_1931</x:v>
      </x:c>
      <x:c r="E31" s="4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5" customHeight="1">
      <x:c r="A32" s="19" t="n">
        <x:v>1927</x:v>
      </x:c>
      <x:c r="B32" s="41" t="str">
        <x:v>czech_lands_active_joint_stock_banks</x:v>
      </x:c>
      <x:c r="C32" s="41" t="str">
        <x:v>LON_CB_1931</x:v>
      </x:c>
      <x:c r="D32" s="41" t="str">
        <x:v>E_BANK_BS_1931;E_BANK_COMPONENTS_1931;E_BANK_PL_1931</x:v>
      </x:c>
      <x:c r="E32" s="41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5" customHeight="1">
      <x:c r="A33" s="22" t="n">
        <x:v>1928</x:v>
      </x:c>
      <x:c r="B33" s="42" t="str">
        <x:v>czech_lands_active_joint_stock_banks</x:v>
      </x:c>
      <x:c r="C33" s="42" t="str">
        <x:v>LON_CB_1931</x:v>
      </x:c>
      <x:c r="D33" s="42" t="str">
        <x:v>E_BANK_BS_1931;E_BANK_COMPONENTS_1931;E_BANK_PL_1931</x:v>
      </x:c>
      <x:c r="E33" s="4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50" customHeight="1">
      <x:c r="A34" s="19" t="n">
        <x:v>1929</x:v>
      </x:c>
      <x:c r="B34" s="41" t="str">
        <x:v>czech_lands_active_joint_stock_banks</x:v>
      </x:c>
      <x:c r="C34" s="41" t="str">
        <x:v>LON_CB_1939</x:v>
      </x:c>
      <x:c r="D34" s="41" t="str">
        <x:v>E_BANK_BS_1931;E_BANK_BS_1934;E_BANK_BS_1935;E_BANK_COMPONENTS_1931;E_BANK_COMPONENTS_1934;E_BANK_COMPONENTS_1935;E_BANK_PL_1931;E_BANK_PL_1934;E_BANK_PL_1935;LATE_COMMERCIAL_ANNUAL_1939;LATE_COMMERCIAL_COMPONENTS_1939;LATE_COMMERCIAL_PL_1939</x:v>
      </x:c>
      <x:c r="E34" s="41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50" customHeight="1">
      <x:c r="A35" s="22" t="n">
        <x:v>1930</x:v>
      </x:c>
      <x:c r="B35" s="42" t="str">
        <x:v>czech_lands_active_joint_stock_banks</x:v>
      </x:c>
      <x:c r="C35" s="42" t="str">
        <x:v>LON_CB_1935;LON_CB_1938</x:v>
      </x:c>
      <x:c r="D35" s="42" t="str">
        <x:v>E_BANK_BS_1934;E_BANK_BS_1935;E_BANK_COMPONENTS_1934;E_BANK_COMPONENTS_1935;E_BANK_PL_1934;E_BANK_PL_1935;LATE_COMMERCIAL_1930_SUPPLEMENT;LATE_COMMERCIAL_COMPONENTS_1930</x:v>
      </x:c>
      <x:c r="E35" s="4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50" customHeight="1">
      <x:c r="A36" s="19" t="n">
        <x:v>1931</x:v>
      </x:c>
      <x:c r="B36" s="41" t="str">
        <x:v>czech_lands_active_joint_stock_banks</x:v>
      </x:c>
      <x:c r="C36" s="41" t="str">
        <x:v>LON_CB_1939</x:v>
      </x:c>
      <x:c r="D36" s="41" t="str">
        <x:v>E_BANK_BS_1934;E_BANK_BS_1935;E_BANK_COMPONENTS_1934;E_BANK_COMPONENTS_1935;E_BANK_PL_1934;E_BANK_PL_1935;LATE_COMMERCIAL_ANNUAL_1939;LATE_COMMERCIAL_COMPONENTS_1939;LATE_COMMERCIAL_PL_1939</x:v>
      </x:c>
      <x:c r="E36" s="41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6" customHeight="1">
      <x:c r="A37" s="22" t="n">
        <x:v>1932</x:v>
      </x:c>
      <x:c r="B37" s="42" t="str">
        <x:v>czech_lands_active_joint_stock_banks</x:v>
      </x:c>
      <x:c r="C37" s="42" t="str">
        <x:v>LON_CB_1939</x:v>
      </x:c>
      <x:c r="D37" s="42" t="str">
        <x:v>E_BANK_BS_1935;E_BANK_COMPONENTS_1935;E_BANK_PL_1935;LATE_COMMERCIAL_ANNUAL_1939;LATE_COMMERCIAL_COMPONENTS_1939;LATE_COMMERCIAL_PL_1939</x:v>
      </x:c>
      <x:c r="E37" s="4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6" customHeight="1">
      <x:c r="A38" s="19" t="n">
        <x:v>1933</x:v>
      </x:c>
      <x:c r="B38" s="41" t="str">
        <x:v>czech_lands_active_joint_stock_banks</x:v>
      </x:c>
      <x:c r="C38" s="41" t="str">
        <x:v>LON_CB_1939</x:v>
      </x:c>
      <x:c r="D38" s="41" t="str">
        <x:v>LATE_COMMERCIAL_ANNUAL_1939;LATE_COMMERCIAL_COMPONENTS_1939;LATE_COMMERCIAL_PL_1939</x:v>
      </x:c>
      <x:c r="E38" s="41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6" customHeight="1">
      <x:c r="A39" s="22" t="n">
        <x:v>1934</x:v>
      </x:c>
      <x:c r="B39" s="42" t="str">
        <x:v>czech_lands_active_joint_stock_banks</x:v>
      </x:c>
      <x:c r="C39" s="42" t="str">
        <x:v>LON_CB_1939</x:v>
      </x:c>
      <x:c r="D39" s="42" t="str">
        <x:v>LATE_COMMERCIAL_ANNUAL_1939;LATE_COMMERCIAL_COMPONENTS_1939;LATE_COMMERCIAL_PL_1939</x:v>
      </x:c>
      <x:c r="E39" s="4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6" customHeight="1">
      <x:c r="A40" s="19" t="n">
        <x:v>1935</x:v>
      </x:c>
      <x:c r="B40" s="41" t="str">
        <x:v>czech_lands_active_joint_stock_banks</x:v>
      </x:c>
      <x:c r="C40" s="41" t="str">
        <x:v>LON_CB_1939</x:v>
      </x:c>
      <x:c r="D40" s="41" t="str">
        <x:v>LATE_COMMERCIAL_ANNUAL_1939;LATE_COMMERCIAL_COMPONENTS_1939;LATE_COMMERCIAL_PL_1939</x:v>
      </x:c>
      <x:c r="E40" s="41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6" customHeight="1">
      <x:c r="A41" s="22" t="n">
        <x:v>1936</x:v>
      </x:c>
      <x:c r="B41" s="42" t="str">
        <x:v>czech_lands_active_joint_stock_banks</x:v>
      </x:c>
      <x:c r="C41" s="42" t="str">
        <x:v>LON_CB_1939</x:v>
      </x:c>
      <x:c r="D41" s="42" t="str">
        <x:v>LATE_COMMERCIAL_ANNUAL_1939;LATE_COMMERCIAL_COMPONENTS_1939;LATE_COMMERCIAL_PL_1939</x:v>
      </x:c>
      <x:c r="E41" s="42" t="str">
        <x:v>income_population_22_balance_population_23</x:v>
      </x:c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6" customHeight="1">
      <x:c r="A42" s="19" t="n">
        <x:v>1937</x:v>
      </x:c>
      <x:c r="B42" s="41" t="str">
        <x:v>czech_lands_active_joint_stock_banks</x:v>
      </x:c>
      <x:c r="C42" s="41" t="str">
        <x:v>LON_CB_1939</x:v>
      </x:c>
      <x:c r="D42" s="41" t="str">
        <x:v>LATE_COMMERCIAL_ANNUAL_1939;LATE_COMMERCIAL_COMPONENTS_1939;LATE_COMMERCIAL_PL_1939</x:v>
      </x:c>
      <x:c r="E42" s="41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0" customHeight="1">
      <x:c r="A47" s="39" t="str">
        <x:v>Bank-year source pages and flags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48" customHeight="1">
      <x:c r="A49" s="15" t="str">
        <x:v>Bank ID</x:v>
      </x:c>
      <x:c r="B49" s="16" t="str">
        <x:v>Year</x:v>
      </x:c>
      <x:c r="C49" s="16" t="str">
        <x:v>Asset PDF page</x:v>
      </x:c>
      <x:c r="D49" s="16" t="str">
        <x:v>Funding PDF page</x:v>
      </x:c>
      <x:c r="E49" s="16" t="str">
        <x:v>Income PDF page</x:v>
      </x:c>
      <x:c r="F49" s="16" t="str">
        <x:v>Asset component residual (m Kč)</x:v>
      </x:c>
      <x:c r="G49" s="16" t="str">
        <x:v>Source flags</x:v>
      </x:c>
      <x:c r="H49" s="17" t="str">
        <x:v>Category notes</x:v>
      </x:c>
      <x:c r="I49" s="2"/>
      <x:c r="J49" s="2"/>
      <x:c r="K49" s="2"/>
      <x:c r="L49" s="2"/>
      <x:c r="M49" s="2"/>
      <x:c r="N49" s="2"/>
    </x:row>
    <x:row r="50" ht="36" customHeight="1">
      <x:c r="A50" s="29" t="str">
        <x:v>agrarni</x:v>
      </x:c>
      <x:c r="B50" s="19" t="n">
        <x:v>1933</x:v>
      </x:c>
      <x:c r="C50" s="19" t="n">
        <x:v>65</x:v>
      </x:c>
      <x:c r="D50" s="19" t="n">
        <x:v>65</x:v>
      </x:c>
      <x:c r="E50" s="19" t="n">
        <x:v>65</x:v>
      </x:c>
      <x:c r="F50" s="30" t="n">
        <x:v>0</x:v>
      </x:c>
      <x:c r="G50" s="41"/>
      <x:c r="H50" s="41" t="str">
        <x:v>Vklady is the source deposit line; veritele are general creditors, not interbank-only. Debtors/bills are not isolated nonfinancial customer lending.</x:v>
      </x:c>
      <x:c r="I50" s="2"/>
      <x:c r="J50" s="2"/>
      <x:c r="K50" s="2"/>
      <x:c r="L50" s="2"/>
      <x:c r="M50" s="2"/>
      <x:c r="N50" s="2"/>
    </x:row>
    <x:row r="51" ht="36" customHeight="1">
      <x:c r="A51" s="31" t="str">
        <x:v>agrarni</x:v>
      </x:c>
      <x:c r="B51" s="22" t="n">
        <x:v>1934</x:v>
      </x:c>
      <x:c r="C51" s="22" t="n">
        <x:v>65</x:v>
      </x:c>
      <x:c r="D51" s="22" t="n">
        <x:v>65</x:v>
      </x:c>
      <x:c r="E51" s="22" t="n">
        <x:v>65</x:v>
      </x:c>
      <x:c r="F51" s="32" t="n">
        <x:v>-0.1</x:v>
      </x:c>
      <x:c r="G51" s="42"/>
      <x:c r="H51" s="42" t="str">
        <x:v>Vklady is the source deposit line; veritele are general creditors, not interbank-only. Debtors/bills are not isolated nonfinancial customer lending.</x:v>
      </x:c>
      <x:c r="I51" s="2"/>
      <x:c r="J51" s="2"/>
      <x:c r="K51" s="2"/>
      <x:c r="L51" s="2"/>
      <x:c r="M51" s="2"/>
      <x:c r="N51" s="2"/>
    </x:row>
    <x:row r="52" ht="36" customHeight="1">
      <x:c r="A52" s="29" t="str">
        <x:v>agrarni</x:v>
      </x:c>
      <x:c r="B52" s="19" t="n">
        <x:v>1935</x:v>
      </x:c>
      <x:c r="C52" s="19" t="n">
        <x:v>65</x:v>
      </x:c>
      <x:c r="D52" s="19" t="n">
        <x:v>65</x:v>
      </x:c>
      <x:c r="E52" s="19" t="n">
        <x:v>65</x:v>
      </x:c>
      <x:c r="F52" s="30" t="n">
        <x:v>0</x:v>
      </x:c>
      <x:c r="G52" s="41"/>
      <x:c r="H52" s="41" t="str">
        <x:v>Vklady is the source deposit line; veritele are general creditors, not interbank-only. Debtors/bills are not isolated nonfinancial customer lending.</x:v>
      </x:c>
      <x:c r="I52" s="2"/>
      <x:c r="J52" s="2"/>
      <x:c r="K52" s="2"/>
      <x:c r="L52" s="2"/>
      <x:c r="M52" s="2"/>
      <x:c r="N52" s="2"/>
    </x:row>
    <x:row r="53" ht="36" customHeight="1">
      <x:c r="A53" s="31" t="str">
        <x:v>agrarni</x:v>
      </x:c>
      <x:c r="B53" s="22" t="n">
        <x:v>1936</x:v>
      </x:c>
      <x:c r="C53" s="22" t="n">
        <x:v>65</x:v>
      </x:c>
      <x:c r="D53" s="22" t="n">
        <x:v>65</x:v>
      </x:c>
      <x:c r="E53" s="22" t="n">
        <x:v>65</x:v>
      </x:c>
      <x:c r="F53" s="32" t="n">
        <x:v>0</x:v>
      </x:c>
      <x:c r="G53" s="42"/>
      <x:c r="H53" s="42" t="str">
        <x:v>Vklady is the source deposit line; veritele are general creditors, not interbank-only. Debtors/bills are not isolated nonfinancial customer lending.</x:v>
      </x:c>
      <x:c r="I53" s="2"/>
      <x:c r="J53" s="2"/>
      <x:c r="K53" s="2"/>
      <x:c r="L53" s="2"/>
      <x:c r="M53" s="2"/>
      <x:c r="N53" s="2"/>
    </x:row>
    <x:row r="54" ht="36" customHeight="1">
      <x:c r="A54" s="29" t="str">
        <x:v>agrarni</x:v>
      </x:c>
      <x:c r="B54" s="19" t="n">
        <x:v>1937</x:v>
      </x:c>
      <x:c r="C54" s="19" t="n">
        <x:v>65</x:v>
      </x:c>
      <x:c r="D54" s="19" t="n">
        <x:v>65</x:v>
      </x:c>
      <x:c r="E54" s="19" t="n">
        <x:v>65</x:v>
      </x:c>
      <x:c r="F54" s="30" t="n">
        <x:v>0</x:v>
      </x:c>
      <x:c r="G54" s="41"/>
      <x:c r="H54" s="41" t="str">
        <x:v>Vklady is the source deposit line; veritele are general creditors, not interbank-only. Debtors/bills are not isolated nonfinancial customer lending.</x:v>
      </x:c>
      <x:c r="I54" s="2"/>
      <x:c r="J54" s="2"/>
      <x:c r="K54" s="2"/>
      <x:c r="L54" s="2"/>
      <x:c r="M54" s="2"/>
      <x:c r="N54" s="2"/>
    </x:row>
    <x:row r="55" ht="36" customHeight="1">
      <x:c r="A55" s="31" t="str">
        <x:v>lander</x:v>
      </x:c>
      <x:c r="B55" s="22" t="n">
        <x:v>1933</x:v>
      </x:c>
      <x:c r="C55" s="22" t="n">
        <x:v>66</x:v>
      </x:c>
      <x:c r="D55" s="22" t="n">
        <x:v>66</x:v>
      </x:c>
      <x:c r="E55" s="22" t="n">
        <x:v>67</x:v>
      </x:c>
      <x:c r="F55" s="32" t="n">
        <x:v>0</x:v>
      </x:c>
      <x:c r="G55" s="42"/>
      <x:c r="H55" s="42" t="str">
        <x:v>Vklady is the source deposit line; veritele are general creditors, not interbank-only. Debtors/bills are not isolated nonfinancial customer lending.</x:v>
      </x:c>
      <x:c r="I55" s="2"/>
      <x:c r="J55" s="2"/>
      <x:c r="K55" s="2"/>
      <x:c r="L55" s="2"/>
      <x:c r="M55" s="2"/>
      <x:c r="N55" s="2"/>
    </x:row>
    <x:row r="56" ht="36" customHeight="1">
      <x:c r="A56" s="29" t="str">
        <x:v>lander</x:v>
      </x:c>
      <x:c r="B56" s="19" t="n">
        <x:v>1934</x:v>
      </x:c>
      <x:c r="C56" s="19" t="n">
        <x:v>66</x:v>
      </x:c>
      <x:c r="D56" s="19" t="n">
        <x:v>66</x:v>
      </x:c>
      <x:c r="E56" s="19" t="n">
        <x:v>67</x:v>
      </x:c>
      <x:c r="F56" s="30" t="n">
        <x:v>0</x:v>
      </x:c>
      <x:c r="G56" s="41"/>
      <x:c r="H56" s="41" t="str">
        <x:v>Vklady is the source deposit line; veritele are general creditors, not interbank-only. Debtors/bills are not isolated nonfinancial customer lending.</x:v>
      </x:c>
      <x:c r="I56" s="2"/>
      <x:c r="J56" s="2"/>
      <x:c r="K56" s="2"/>
      <x:c r="L56" s="2"/>
      <x:c r="M56" s="2"/>
      <x:c r="N56" s="2"/>
    </x:row>
    <x:row r="57" ht="36" customHeight="1">
      <x:c r="A57" s="31" t="str">
        <x:v>lander</x:v>
      </x:c>
      <x:c r="B57" s="22" t="n">
        <x:v>1935</x:v>
      </x:c>
      <x:c r="C57" s="22" t="n">
        <x:v>66</x:v>
      </x:c>
      <x:c r="D57" s="22" t="n">
        <x:v>66</x:v>
      </x:c>
      <x:c r="E57" s="22" t="n">
        <x:v>67</x:v>
      </x:c>
      <x:c r="F57" s="32" t="n">
        <x:v>0</x:v>
      </x:c>
      <x:c r="G57" s="42"/>
      <x:c r="H57" s="42" t="str">
        <x:v>Vklady is the source deposit line; veritele are general creditors, not interbank-only. Debtors/bills are not isolated nonfinancial customer lending.</x:v>
      </x:c>
      <x:c r="I57" s="2"/>
      <x:c r="J57" s="2"/>
      <x:c r="K57" s="2"/>
      <x:c r="L57" s="2"/>
      <x:c r="M57" s="2"/>
      <x:c r="N57" s="2"/>
    </x:row>
    <x:row r="58" ht="36" customHeight="1">
      <x:c r="A58" s="29" t="str">
        <x:v>lander</x:v>
      </x:c>
      <x:c r="B58" s="19" t="n">
        <x:v>1936</x:v>
      </x:c>
      <x:c r="C58" s="19" t="n">
        <x:v>66</x:v>
      </x:c>
      <x:c r="D58" s="19" t="n">
        <x:v>66</x:v>
      </x:c>
      <x:c r="E58" s="19" t="n">
        <x:v>67</x:v>
      </x:c>
      <x:c r="F58" s="30" t="n">
        <x:v>0</x:v>
      </x:c>
      <x:c r="G58" s="41"/>
      <x:c r="H58" s="41" t="str">
        <x:v>Vklady is the source deposit line; veritele are general creditors, not interbank-only. Debtors/bills are not isolated nonfinancial customer lending.</x:v>
      </x:c>
      <x:c r="I58" s="2"/>
      <x:c r="J58" s="2"/>
      <x:c r="K58" s="2"/>
      <x:c r="L58" s="2"/>
      <x:c r="M58" s="2"/>
      <x:c r="N58" s="2"/>
    </x:row>
    <x:row r="59" ht="36" customHeight="1">
      <x:c r="A59" s="31" t="str">
        <x:v>lander</x:v>
      </x:c>
      <x:c r="B59" s="22" t="n">
        <x:v>1937</x:v>
      </x:c>
      <x:c r="C59" s="22" t="n">
        <x:v>66</x:v>
      </x:c>
      <x:c r="D59" s="22" t="n">
        <x:v>66</x:v>
      </x:c>
      <x:c r="E59" s="22" t="n">
        <x:v>67</x:v>
      </x:c>
      <x:c r="F59" s="32" t="n">
        <x:v>0</x:v>
      </x:c>
      <x:c r="G59" s="42"/>
      <x:c r="H59" s="42" t="str">
        <x:v>Vklady is the source deposit line; veritele are general creditors, not interbank-only. Debtors/bills are not isolated nonfinancial customer lending.</x:v>
      </x:c>
      <x:c r="I59" s="2"/>
      <x:c r="J59" s="2"/>
      <x:c r="K59" s="2"/>
      <x:c r="L59" s="2"/>
      <x:c r="M59" s="2"/>
      <x:c r="N59" s="2"/>
    </x:row>
    <x:row r="60" ht="36" customHeight="1">
      <x:c r="A60" s="29" t="str">
        <x:v>ceska</x:v>
      </x:c>
      <x:c r="B60" s="19" t="n">
        <x:v>1933</x:v>
      </x:c>
      <x:c r="C60" s="19" t="n">
        <x:v>68</x:v>
      </x:c>
      <x:c r="D60" s="19" t="n">
        <x:v>68</x:v>
      </x:c>
      <x:c r="E60" s="19" t="n">
        <x:v>68</x:v>
      </x:c>
      <x:c r="F60" s="30" t="n">
        <x:v>0.1</x:v>
      </x:c>
      <x:c r="G60" s="41"/>
      <x:c r="H60" s="41" t="str">
        <x:v>Vklady is the source deposit line; veritele are general creditors, not interbank-only. Debtors/bills are not isolated nonfinancial customer lending.</x:v>
      </x:c>
      <x:c r="I60" s="2"/>
      <x:c r="J60" s="2"/>
      <x:c r="K60" s="2"/>
      <x:c r="L60" s="2"/>
      <x:c r="M60" s="2"/>
      <x:c r="N60" s="2"/>
    </x:row>
    <x:row r="61" ht="36" customHeight="1">
      <x:c r="A61" s="31" t="str">
        <x:v>ceska</x:v>
      </x:c>
      <x:c r="B61" s="22" t="n">
        <x:v>1934</x:v>
      </x:c>
      <x:c r="C61" s="22" t="n">
        <x:v>68</x:v>
      </x:c>
      <x:c r="D61" s="22" t="n">
        <x:v>68</x:v>
      </x:c>
      <x:c r="E61" s="22" t="n">
        <x:v>68</x:v>
      </x:c>
      <x:c r="F61" s="32" t="n">
        <x:v>0</x:v>
      </x:c>
      <x:c r="G61" s="42"/>
      <x:c r="H61" s="42" t="str">
        <x:v>Vklady is the source deposit line; veritele are general creditors, not interbank-only. Debtors/bills are not isolated nonfinancial customer lending.</x:v>
      </x:c>
      <x:c r="I61" s="2"/>
      <x:c r="J61" s="2"/>
      <x:c r="K61" s="2"/>
      <x:c r="L61" s="2"/>
      <x:c r="M61" s="2"/>
      <x:c r="N61" s="2"/>
    </x:row>
    <x:row r="62" ht="36" customHeight="1">
      <x:c r="A62" s="29" t="str">
        <x:v>ceska</x:v>
      </x:c>
      <x:c r="B62" s="19" t="n">
        <x:v>1935</x:v>
      </x:c>
      <x:c r="C62" s="19" t="n">
        <x:v>68</x:v>
      </x:c>
      <x:c r="D62" s="19" t="n">
        <x:v>68</x:v>
      </x:c>
      <x:c r="E62" s="19" t="n">
        <x:v>68</x:v>
      </x:c>
      <x:c r="F62" s="30" t="n">
        <x:v>0</x:v>
      </x:c>
      <x:c r="G62" s="41"/>
      <x:c r="H62" s="41" t="str">
        <x:v>Vklady is the source deposit line; veritele are general creditors, not interbank-only. Debtors/bills are not isolated nonfinancial customer lending.</x:v>
      </x:c>
      <x:c r="I62" s="2"/>
      <x:c r="J62" s="2"/>
      <x:c r="K62" s="2"/>
      <x:c r="L62" s="2"/>
      <x:c r="M62" s="2"/>
      <x:c r="N62" s="2"/>
    </x:row>
    <x:row r="63" ht="36" customHeight="1">
      <x:c r="A63" s="31" t="str">
        <x:v>ceska</x:v>
      </x:c>
      <x:c r="B63" s="22" t="n">
        <x:v>1936</x:v>
      </x:c>
      <x:c r="C63" s="22" t="n">
        <x:v>68</x:v>
      </x:c>
      <x:c r="D63" s="22" t="n">
        <x:v>68</x:v>
      </x:c>
      <x:c r="E63" s="22" t="n">
        <x:v>68</x:v>
      </x:c>
      <x:c r="F63" s="32" t="n">
        <x:v>0</x:v>
      </x:c>
      <x:c r="G63" s="42"/>
      <x:c r="H63" s="42" t="str">
        <x:v>Vklady is the source deposit line; veritele are general creditors, not interbank-only. Debtors/bills are not isolated nonfinancial customer lending.</x:v>
      </x:c>
      <x:c r="I63" s="2"/>
      <x:c r="J63" s="2"/>
      <x:c r="K63" s="2"/>
      <x:c r="L63" s="2"/>
      <x:c r="M63" s="2"/>
      <x:c r="N63" s="2"/>
    </x:row>
    <x:row r="64" ht="36" customHeight="1">
      <x:c r="A64" s="29" t="str">
        <x:v>ceska</x:v>
      </x:c>
      <x:c r="B64" s="19" t="n">
        <x:v>1937</x:v>
      </x:c>
      <x:c r="C64" s="19" t="n">
        <x:v>68</x:v>
      </x:c>
      <x:c r="D64" s="19" t="n">
        <x:v>68</x:v>
      </x:c>
      <x:c r="E64" s="19" t="n">
        <x:v>68</x:v>
      </x:c>
      <x:c r="F64" s="30" t="n">
        <x:v>0</x:v>
      </x:c>
      <x:c r="G64" s="41"/>
      <x:c r="H64" s="41" t="str">
        <x:v>Vklady is the source deposit line; veritele are general creditors, not interbank-only. Debtors/bills are not isolated nonfinancial customer lending.</x:v>
      </x:c>
      <x:c r="I64" s="2"/>
      <x:c r="J64" s="2"/>
      <x:c r="K64" s="2"/>
      <x:c r="L64" s="2"/>
      <x:c r="M64" s="2"/>
      <x:c r="N64" s="2"/>
    </x:row>
    <x:row r="65" ht="36" customHeight="1">
      <x:c r="A65" s="31" t="str">
        <x:v>union</x:v>
      </x:c>
      <x:c r="B65" s="22" t="n">
        <x:v>1933</x:v>
      </x:c>
      <x:c r="C65" s="22" t="n">
        <x:v>70</x:v>
      </x:c>
      <x:c r="D65" s="22" t="n">
        <x:v>70</x:v>
      </x:c>
      <x:c r="E65" s="22" t="n">
        <x:v>70</x:v>
      </x:c>
      <x:c r="F65" s="32" t="n">
        <x:v>0</x:v>
      </x:c>
      <x:c r="G65" s="42"/>
      <x:c r="H65" s="42" t="str">
        <x:v>Vklady is the source deposit line; veritele are general creditors, not interbank-only. Debtors/bills are not isolated nonfinancial customer lending.</x:v>
      </x:c>
      <x:c r="I65" s="2"/>
      <x:c r="J65" s="2"/>
      <x:c r="K65" s="2"/>
      <x:c r="L65" s="2"/>
      <x:c r="M65" s="2"/>
      <x:c r="N65" s="2"/>
    </x:row>
    <x:row r="66" ht="36" customHeight="1">
      <x:c r="A66" s="29" t="str">
        <x:v>union</x:v>
      </x:c>
      <x:c r="B66" s="19" t="n">
        <x:v>1934</x:v>
      </x:c>
      <x:c r="C66" s="19" t="n">
        <x:v>70</x:v>
      </x:c>
      <x:c r="D66" s="19" t="n">
        <x:v>70</x:v>
      </x:c>
      <x:c r="E66" s="19" t="n">
        <x:v>70</x:v>
      </x:c>
      <x:c r="F66" s="30" t="n">
        <x:v>0</x:v>
      </x:c>
      <x:c r="G66" s="41"/>
      <x:c r="H66" s="41" t="str">
        <x:v>Vklady is the source deposit line; veritele are general creditors, not interbank-only. Debtors/bills are not isolated nonfinancial customer lending.</x:v>
      </x:c>
      <x:c r="I66" s="2"/>
      <x:c r="J66" s="2"/>
      <x:c r="K66" s="2"/>
      <x:c r="L66" s="2"/>
      <x:c r="M66" s="2"/>
      <x:c r="N66" s="2"/>
    </x:row>
    <x:row r="67" ht="36" customHeight="1">
      <x:c r="A67" s="31" t="str">
        <x:v>union</x:v>
      </x:c>
      <x:c r="B67" s="22" t="n">
        <x:v>1935</x:v>
      </x:c>
      <x:c r="C67" s="22" t="n">
        <x:v>70</x:v>
      </x:c>
      <x:c r="D67" s="22" t="n">
        <x:v>70</x:v>
      </x:c>
      <x:c r="E67" s="22" t="n">
        <x:v>70</x:v>
      </x:c>
      <x:c r="F67" s="32" t="n">
        <x:v>0</x:v>
      </x:c>
      <x:c r="G67" s="42"/>
      <x:c r="H67" s="42" t="str">
        <x:v>Vklady is the source deposit line; veritele are general creditors, not interbank-only. Debtors/bills are not isolated nonfinancial customer lending.</x:v>
      </x:c>
      <x:c r="I67" s="2"/>
      <x:c r="J67" s="2"/>
      <x:c r="K67" s="2"/>
      <x:c r="L67" s="2"/>
      <x:c r="M67" s="2"/>
      <x:c r="N67" s="2"/>
    </x:row>
    <x:row r="68" ht="36" customHeight="1">
      <x:c r="A68" s="29" t="str">
        <x:v>union</x:v>
      </x:c>
      <x:c r="B68" s="19" t="n">
        <x:v>1936</x:v>
      </x:c>
      <x:c r="C68" s="19" t="n">
        <x:v>70</x:v>
      </x:c>
      <x:c r="D68" s="19" t="n">
        <x:v>70</x:v>
      </x:c>
      <x:c r="E68" s="19" t="n">
        <x:v>70</x:v>
      </x:c>
      <x:c r="F68" s="30" t="n">
        <x:v>0</x:v>
      </x:c>
      <x:c r="G68" s="41"/>
      <x:c r="H68" s="41" t="str">
        <x:v>Vklady is the source deposit line; veritele are general creditors, not interbank-only. Debtors/bills are not isolated nonfinancial customer lending.</x:v>
      </x:c>
      <x:c r="I68" s="2"/>
      <x:c r="J68" s="2"/>
      <x:c r="K68" s="2"/>
      <x:c r="L68" s="2"/>
      <x:c r="M68" s="2"/>
      <x:c r="N68" s="2"/>
    </x:row>
    <x:row r="69" ht="36" customHeight="1">
      <x:c r="A69" s="31" t="str">
        <x:v>union</x:v>
      </x:c>
      <x:c r="B69" s="22" t="n">
        <x:v>1937</x:v>
      </x:c>
      <x:c r="C69" s="22" t="n">
        <x:v>70</x:v>
      </x:c>
      <x:c r="D69" s="22" t="n">
        <x:v>70</x:v>
      </x:c>
      <x:c r="E69" s="22" t="n">
        <x:v>70</x:v>
      </x:c>
      <x:c r="F69" s="32" t="n">
        <x:v>0</x:v>
      </x:c>
      <x:c r="G69" s="42"/>
      <x:c r="H69" s="42" t="str">
        <x:v>Vklady is the source deposit line; veritele are general creditors, not interbank-only. Debtors/bills are not isolated nonfinancial customer lending.</x:v>
      </x:c>
      <x:c r="I69" s="2"/>
      <x:c r="J69" s="2"/>
      <x:c r="K69" s="2"/>
      <x:c r="L69" s="2"/>
      <x:c r="M69" s="2"/>
      <x:c r="N69" s="2"/>
    </x:row>
    <x:row r="70" ht="36" customHeight="1">
      <x:c r="A70" s="29" t="str">
        <x:v>escomp</x:v>
      </x:c>
      <x:c r="B70" s="19" t="n">
        <x:v>1933</x:v>
      </x:c>
      <x:c r="C70" s="19" t="n">
        <x:v>72</x:v>
      </x:c>
      <x:c r="D70" s="19" t="n">
        <x:v>73</x:v>
      </x:c>
      <x:c r="E70" s="19" t="n">
        <x:v>73</x:v>
      </x:c>
      <x:c r="F70" s="30" t="n">
        <x:v>0</x:v>
      </x:c>
      <x:c r="G70" s="41"/>
      <x:c r="H70" s="41" t="str">
        <x:v>Vklady is the source deposit line; veritele are general creditors, not interbank-only. Debtors/bills are not isolated nonfinancial customer lending.</x:v>
      </x:c>
      <x:c r="I70" s="2"/>
      <x:c r="J70" s="2"/>
      <x:c r="K70" s="2"/>
      <x:c r="L70" s="2"/>
      <x:c r="M70" s="2"/>
      <x:c r="N70" s="2"/>
    </x:row>
    <x:row r="71" ht="36" customHeight="1">
      <x:c r="A71" s="31" t="str">
        <x:v>escomp</x:v>
      </x:c>
      <x:c r="B71" s="22" t="n">
        <x:v>1934</x:v>
      </x:c>
      <x:c r="C71" s="22" t="n">
        <x:v>72</x:v>
      </x:c>
      <x:c r="D71" s="22" t="n">
        <x:v>73</x:v>
      </x:c>
      <x:c r="E71" s="22" t="n">
        <x:v>73</x:v>
      </x:c>
      <x:c r="F71" s="32" t="n">
        <x:v>0</x:v>
      </x:c>
      <x:c r="G71" s="42"/>
      <x:c r="H71" s="42" t="str">
        <x:v>Vklady is the source deposit line; veritele are general creditors, not interbank-only. Debtors/bills are not isolated nonfinancial customer lending.</x:v>
      </x:c>
      <x:c r="I71" s="2"/>
      <x:c r="J71" s="2"/>
      <x:c r="K71" s="2"/>
      <x:c r="L71" s="2"/>
      <x:c r="M71" s="2"/>
      <x:c r="N71" s="2"/>
    </x:row>
    <x:row r="72" ht="36" customHeight="1">
      <x:c r="A72" s="29" t="str">
        <x:v>escomp</x:v>
      </x:c>
      <x:c r="B72" s="19" t="n">
        <x:v>1935</x:v>
      </x:c>
      <x:c r="C72" s="19" t="n">
        <x:v>72</x:v>
      </x:c>
      <x:c r="D72" s="19" t="n">
        <x:v>73</x:v>
      </x:c>
      <x:c r="E72" s="19" t="n">
        <x:v>73</x:v>
      </x:c>
      <x:c r="F72" s="30" t="n">
        <x:v>0</x:v>
      </x:c>
      <x:c r="G72" s="41"/>
      <x:c r="H72" s="41" t="str">
        <x:v>Vklady is the source deposit line; veritele are general creditors, not interbank-only. Debtors/bills are not isolated nonfinancial customer lending.</x:v>
      </x:c>
      <x:c r="I72" s="2"/>
      <x:c r="J72" s="2"/>
      <x:c r="K72" s="2"/>
      <x:c r="L72" s="2"/>
      <x:c r="M72" s="2"/>
      <x:c r="N72" s="2"/>
    </x:row>
    <x:row r="73" ht="36" customHeight="1">
      <x:c r="A73" s="31" t="str">
        <x:v>escomp</x:v>
      </x:c>
      <x:c r="B73" s="22" t="n">
        <x:v>1936</x:v>
      </x:c>
      <x:c r="C73" s="22" t="n">
        <x:v>72</x:v>
      </x:c>
      <x:c r="D73" s="22" t="n">
        <x:v>73</x:v>
      </x:c>
      <x:c r="E73" s="22" t="n">
        <x:v>73</x:v>
      </x:c>
      <x:c r="F73" s="32" t="n">
        <x:v>0</x:v>
      </x:c>
      <x:c r="G73" s="42"/>
      <x:c r="H73" s="42" t="str">
        <x:v>Vklady is the source deposit line; veritele are general creditors, not interbank-only. Debtors/bills are not isolated nonfinancial customer lending.</x:v>
      </x:c>
      <x:c r="I73" s="2"/>
      <x:c r="J73" s="2"/>
      <x:c r="K73" s="2"/>
      <x:c r="L73" s="2"/>
      <x:c r="M73" s="2"/>
      <x:c r="N73" s="2"/>
    </x:row>
    <x:row r="74" ht="36" customHeight="1">
      <x:c r="A74" s="29" t="str">
        <x:v>escomp</x:v>
      </x:c>
      <x:c r="B74" s="19" t="n">
        <x:v>1937</x:v>
      </x:c>
      <x:c r="C74" s="19" t="n">
        <x:v>72</x:v>
      </x:c>
      <x:c r="D74" s="19" t="n">
        <x:v>73</x:v>
      </x:c>
      <x:c r="E74" s="19" t="n">
        <x:v>73</x:v>
      </x:c>
      <x:c r="F74" s="30" t="n">
        <x:v>0</x:v>
      </x:c>
      <x:c r="G74" s="41"/>
      <x:c r="H74" s="41" t="str">
        <x:v>Vklady is the source deposit line; veritele are general creditors, not interbank-only. Debtors/bills are not isolated nonfinancial customer lending.</x:v>
      </x:c>
      <x:c r="I74" s="2"/>
      <x:c r="J74" s="2"/>
      <x:c r="K74" s="2"/>
      <x:c r="L74" s="2"/>
      <x:c r="M74" s="2"/>
      <x:c r="N74" s="2"/>
    </x:row>
    <x:row r="75" ht="36" customHeight="1">
      <x:c r="A75" s="31" t="str">
        <x:v>prumyslova</x:v>
      </x:c>
      <x:c r="B75" s="22" t="n">
        <x:v>1933</x:v>
      </x:c>
      <x:c r="C75" s="22" t="n">
        <x:v>74</x:v>
      </x:c>
      <x:c r="D75" s="22" t="n">
        <x:v>74</x:v>
      </x:c>
      <x:c r="E75" s="22" t="n">
        <x:v>75</x:v>
      </x:c>
      <x:c r="F75" s="32" t="n">
        <x:v>0</x:v>
      </x:c>
      <x:c r="G75" s="42"/>
      <x:c r="H75" s="42" t="str">
        <x:v>Vklady is the source deposit line; veritele are general creditors, not interbank-only. Debtors/bills are not isolated nonfinancial customer lending.</x:v>
      </x:c>
      <x:c r="I75" s="2"/>
      <x:c r="J75" s="2"/>
      <x:c r="K75" s="2"/>
      <x:c r="L75" s="2"/>
      <x:c r="M75" s="2"/>
      <x:c r="N75" s="2"/>
    </x:row>
    <x:row r="76" ht="36" customHeight="1">
      <x:c r="A76" s="29" t="str">
        <x:v>prumyslova</x:v>
      </x:c>
      <x:c r="B76" s="19" t="n">
        <x:v>1934</x:v>
      </x:c>
      <x:c r="C76" s="19" t="n">
        <x:v>74</x:v>
      </x:c>
      <x:c r="D76" s="19" t="n">
        <x:v>74</x:v>
      </x:c>
      <x:c r="E76" s="19" t="n">
        <x:v>75</x:v>
      </x:c>
      <x:c r="F76" s="30" t="n">
        <x:v>0</x:v>
      </x:c>
      <x:c r="G76" s="41"/>
      <x:c r="H76" s="41" t="str">
        <x:v>Vklady is the source deposit line; veritele are general creditors, not interbank-only. Debtors/bills are not isolated nonfinancial customer lending.</x:v>
      </x:c>
      <x:c r="I76" s="2"/>
      <x:c r="J76" s="2"/>
      <x:c r="K76" s="2"/>
      <x:c r="L76" s="2"/>
      <x:c r="M76" s="2"/>
      <x:c r="N76" s="2"/>
    </x:row>
    <x:row r="77" ht="36" customHeight="1">
      <x:c r="A77" s="31" t="str">
        <x:v>prumyslova</x:v>
      </x:c>
      <x:c r="B77" s="22" t="n">
        <x:v>1935</x:v>
      </x:c>
      <x:c r="C77" s="22" t="n">
        <x:v>74</x:v>
      </x:c>
      <x:c r="D77" s="22" t="n">
        <x:v>74</x:v>
      </x:c>
      <x:c r="E77" s="22" t="n">
        <x:v>75</x:v>
      </x:c>
      <x:c r="F77" s="32" t="n">
        <x:v>0</x:v>
      </x:c>
      <x:c r="G77" s="42"/>
      <x:c r="H77" s="42" t="str">
        <x:v>Vklady is the source deposit line; veritele are general creditors, not interbank-only. Debtors/bills are not isolated nonfinancial customer lending.</x:v>
      </x:c>
      <x:c r="I77" s="2"/>
      <x:c r="J77" s="2"/>
      <x:c r="K77" s="2"/>
      <x:c r="L77" s="2"/>
      <x:c r="M77" s="2"/>
      <x:c r="N77" s="2"/>
    </x:row>
    <x:row r="78" ht="36" customHeight="1">
      <x:c r="A78" s="29" t="str">
        <x:v>prumyslova</x:v>
      </x:c>
      <x:c r="B78" s="19" t="n">
        <x:v>1936</x:v>
      </x:c>
      <x:c r="C78" s="19" t="n">
        <x:v>74</x:v>
      </x:c>
      <x:c r="D78" s="19" t="n">
        <x:v>74</x:v>
      </x:c>
      <x:c r="E78" s="19" t="n">
        <x:v>75</x:v>
      </x:c>
      <x:c r="F78" s="30" t="n">
        <x:v>0</x:v>
      </x:c>
      <x:c r="G78" s="41"/>
      <x:c r="H78" s="41" t="str">
        <x:v>Vklady is the source deposit line; veritele are general creditors, not interbank-only. Debtors/bills are not isolated nonfinancial customer lending.</x:v>
      </x:c>
      <x:c r="I78" s="2"/>
      <x:c r="J78" s="2"/>
      <x:c r="K78" s="2"/>
      <x:c r="L78" s="2"/>
      <x:c r="M78" s="2"/>
      <x:c r="N78" s="2"/>
    </x:row>
    <x:row r="79" ht="36" customHeight="1">
      <x:c r="A79" s="31" t="str">
        <x:v>prumyslova</x:v>
      </x:c>
      <x:c r="B79" s="22" t="n">
        <x:v>1937</x:v>
      </x:c>
      <x:c r="C79" s="22" t="n">
        <x:v>74</x:v>
      </x:c>
      <x:c r="D79" s="22" t="n">
        <x:v>74</x:v>
      </x:c>
      <x:c r="E79" s="22" t="n">
        <x:v>75</x:v>
      </x:c>
      <x:c r="F79" s="32" t="n">
        <x:v>0</x:v>
      </x:c>
      <x:c r="G79" s="42"/>
      <x:c r="H79" s="42" t="str">
        <x:v>Vklady is the source deposit line; veritele are general creditors, not interbank-only. Debtors/bills are not isolated nonfinancial customer lending.</x:v>
      </x:c>
      <x:c r="I79" s="2"/>
      <x:c r="J79" s="2"/>
      <x:c r="K79" s="2"/>
      <x:c r="L79" s="2"/>
      <x:c r="M79" s="2"/>
      <x:c r="N79" s="2"/>
    </x:row>
    <x:row r="80" ht="36" customHeight="1">
      <x:c r="A80" s="29" t="str">
        <x:v>moravska</x:v>
      </x:c>
      <x:c r="B80" s="19" t="n">
        <x:v>1933</x:v>
      </x:c>
      <x:c r="C80" s="19" t="n">
        <x:v>76</x:v>
      </x:c>
      <x:c r="D80" s="19" t="n">
        <x:v>76</x:v>
      </x:c>
      <x:c r="E80" s="19" t="n">
        <x:v>76</x:v>
      </x:c>
      <x:c r="F80" s="30" t="n">
        <x:v>-20</x:v>
      </x:c>
      <x:c r="G80" s="41" t="str">
        <x:v>asset_components_below_reported_total_20_million</x:v>
      </x:c>
      <x:c r="H80" s="41" t="str">
        <x:v>Vklady is the source deposit line; veritele are general creditors, not interbank-only. Debtors/bills are not isolated nonfinancial customer lending.</x:v>
      </x:c>
      <x:c r="I80" s="2"/>
      <x:c r="J80" s="2"/>
      <x:c r="K80" s="2"/>
      <x:c r="L80" s="2"/>
      <x:c r="M80" s="2"/>
      <x:c r="N80" s="2"/>
    </x:row>
    <x:row r="81" ht="36" customHeight="1">
      <x:c r="A81" s="31" t="str">
        <x:v>moravska</x:v>
      </x:c>
      <x:c r="B81" s="22" t="n">
        <x:v>1934</x:v>
      </x:c>
      <x:c r="C81" s="22" t="n">
        <x:v>76</x:v>
      </x:c>
      <x:c r="D81" s="22" t="n">
        <x:v>76</x:v>
      </x:c>
      <x:c r="E81" s="22" t="n">
        <x:v>76</x:v>
      </x:c>
      <x:c r="F81" s="32" t="n">
        <x:v>0</x:v>
      </x:c>
      <x:c r="G81" s="42"/>
      <x:c r="H81" s="42" t="str">
        <x:v>Vklady is the source deposit line; veritele are general creditors, not interbank-only. Debtors/bills are not isolated nonfinancial customer lending.</x:v>
      </x:c>
      <x:c r="I81" s="2"/>
      <x:c r="J81" s="2"/>
      <x:c r="K81" s="2"/>
      <x:c r="L81" s="2"/>
      <x:c r="M81" s="2"/>
      <x:c r="N81" s="2"/>
    </x:row>
    <x:row r="82" ht="36" customHeight="1">
      <x:c r="A82" s="29" t="str">
        <x:v>moravska</x:v>
      </x:c>
      <x:c r="B82" s="19" t="n">
        <x:v>1935</x:v>
      </x:c>
      <x:c r="C82" s="19" t="n">
        <x:v>76</x:v>
      </x:c>
      <x:c r="D82" s="19" t="n">
        <x:v>76</x:v>
      </x:c>
      <x:c r="E82" s="19" t="n">
        <x:v>76</x:v>
      </x:c>
      <x:c r="F82" s="30" t="n">
        <x:v>0</x:v>
      </x:c>
      <x:c r="G82" s="41"/>
      <x:c r="H82" s="41" t="str">
        <x:v>Vklady is the source deposit line; veritele are general creditors, not interbank-only. Debtors/bills are not isolated nonfinancial customer lending.</x:v>
      </x:c>
      <x:c r="I82" s="2"/>
      <x:c r="J82" s="2"/>
      <x:c r="K82" s="2"/>
      <x:c r="L82" s="2"/>
      <x:c r="M82" s="2"/>
      <x:c r="N82" s="2"/>
    </x:row>
    <x:row r="83" ht="36" customHeight="1">
      <x:c r="A83" s="31" t="str">
        <x:v>moravska</x:v>
      </x:c>
      <x:c r="B83" s="22" t="n">
        <x:v>1936</x:v>
      </x:c>
      <x:c r="C83" s="22" t="n">
        <x:v>76</x:v>
      </x:c>
      <x:c r="D83" s="22" t="n">
        <x:v>76</x:v>
      </x:c>
      <x:c r="E83" s="22" t="n">
        <x:v>76</x:v>
      </x:c>
      <x:c r="F83" s="32" t="n">
        <x:v>0</x:v>
      </x:c>
      <x:c r="G83" s="42"/>
      <x:c r="H83" s="42" t="str">
        <x:v>Vklady is the source deposit line; veritele are general creditors, not interbank-only. Debtors/bills are not isolated nonfinancial customer lending.</x:v>
      </x:c>
      <x:c r="I83" s="2"/>
      <x:c r="J83" s="2"/>
      <x:c r="K83" s="2"/>
      <x:c r="L83" s="2"/>
      <x:c r="M83" s="2"/>
      <x:c r="N83" s="2"/>
    </x:row>
    <x:row r="84" ht="36" customHeight="1">
      <x:c r="A84" s="29" t="str">
        <x:v>moravska</x:v>
      </x:c>
      <x:c r="B84" s="19" t="n">
        <x:v>1937</x:v>
      </x:c>
      <x:c r="C84" s="19" t="n">
        <x:v>76</x:v>
      </x:c>
      <x:c r="D84" s="19" t="n">
        <x:v>76</x:v>
      </x:c>
      <x:c r="E84" s="19" t="n">
        <x:v>76</x:v>
      </x:c>
      <x:c r="F84" s="30" t="n">
        <x:v>0</x:v>
      </x:c>
      <x:c r="G84" s="41"/>
      <x:c r="H84" s="41" t="str">
        <x:v>Vklady is the source deposit line; veritele are general creditors, not interbank-only. Debtors/bills are not isolated nonfinancial customer lending.</x:v>
      </x:c>
      <x:c r="I84" s="2"/>
      <x:c r="J84" s="2"/>
      <x:c r="K84" s="2"/>
      <x:c r="L84" s="2"/>
      <x:c r="M84" s="2"/>
      <x:c r="N84" s="2"/>
    </x:row>
    <x:row r="85" ht="36" customHeight="1">
      <x:c r="A85" s="31" t="str">
        <x:v>plzenska</x:v>
      </x:c>
      <x:c r="B85" s="22" t="n">
        <x:v>1933</x:v>
      </x:c>
      <x:c r="C85" s="22" t="n">
        <x:v>83</x:v>
      </x:c>
      <x:c r="D85" s="22" t="n">
        <x:v>83</x:v>
      </x:c>
      <x:c r="E85" s="22" t="n">
        <x:v>83</x:v>
      </x:c>
      <x:c r="F85" s="32" t="n">
        <x:v>0</x:v>
      </x:c>
      <x:c r="G85" s="42"/>
      <x:c r="H85" s="42" t="str">
        <x:v>Vklady is the source deposit line; veritele are general creditors, not interbank-only. Debtors/bills are not isolated nonfinancial customer lending.</x:v>
      </x:c>
      <x:c r="I85" s="2"/>
      <x:c r="J85" s="2"/>
      <x:c r="K85" s="2"/>
      <x:c r="L85" s="2"/>
      <x:c r="M85" s="2"/>
      <x:c r="N85" s="2"/>
    </x:row>
    <x:row r="86" ht="36" customHeight="1">
      <x:c r="A86" s="29" t="str">
        <x:v>plzenska</x:v>
      </x:c>
      <x:c r="B86" s="19" t="n">
        <x:v>1934</x:v>
      </x:c>
      <x:c r="C86" s="19" t="n">
        <x:v>83</x:v>
      </x:c>
      <x:c r="D86" s="19" t="n">
        <x:v>83</x:v>
      </x:c>
      <x:c r="E86" s="19" t="n">
        <x:v>83</x:v>
      </x:c>
      <x:c r="F86" s="30" t="n">
        <x:v>-0.1</x:v>
      </x:c>
      <x:c r="G86" s="41"/>
      <x:c r="H86" s="41" t="str">
        <x:v>Vklady is the source deposit line; veritele are general creditors, not interbank-only. Debtors/bills are not isolated nonfinancial customer lending.</x:v>
      </x:c>
      <x:c r="I86" s="2"/>
      <x:c r="J86" s="2"/>
      <x:c r="K86" s="2"/>
      <x:c r="L86" s="2"/>
      <x:c r="M86" s="2"/>
      <x:c r="N86" s="2"/>
    </x:row>
    <x:row r="87" ht="36" customHeight="1">
      <x:c r="A87" s="31" t="str">
        <x:v>plzenska</x:v>
      </x:c>
      <x:c r="B87" s="22" t="n">
        <x:v>1935</x:v>
      </x:c>
      <x:c r="C87" s="22" t="n">
        <x:v>83</x:v>
      </x:c>
      <x:c r="D87" s="22" t="n">
        <x:v>83</x:v>
      </x:c>
      <x:c r="E87" s="22" t="n">
        <x:v>83</x:v>
      </x:c>
      <x:c r="F87" s="32" t="n">
        <x:v>0.1</x:v>
      </x:c>
      <x:c r="G87" s="42"/>
      <x:c r="H87" s="42" t="str">
        <x:v>Vklady is the source deposit line; veritele are general creditors, not interbank-only. Debtors/bills are not isolated nonfinancial customer lending.</x:v>
      </x:c>
      <x:c r="I87" s="2"/>
      <x:c r="J87" s="2"/>
      <x:c r="K87" s="2"/>
      <x:c r="L87" s="2"/>
      <x:c r="M87" s="2"/>
      <x:c r="N87" s="2"/>
    </x:row>
    <x:row r="88" ht="36" customHeight="1">
      <x:c r="A88" s="29" t="str">
        <x:v>plzenska</x:v>
      </x:c>
      <x:c r="B88" s="19" t="n">
        <x:v>1936</x:v>
      </x:c>
      <x:c r="C88" s="19" t="n">
        <x:v>83</x:v>
      </x:c>
      <x:c r="D88" s="19" t="n">
        <x:v>83</x:v>
      </x:c>
      <x:c r="E88" s="19" t="n">
        <x:v>83</x:v>
      </x:c>
      <x:c r="F88" s="30" t="n">
        <x:v>0</x:v>
      </x:c>
      <x:c r="G88" s="41"/>
      <x:c r="H88" s="41" t="str">
        <x:v>Vklady is the source deposit line; veritele are general creditors, not interbank-only. Debtors/bills are not isolated nonfinancial customer lending.</x:v>
      </x:c>
      <x:c r="I88" s="2"/>
      <x:c r="J88" s="2"/>
      <x:c r="K88" s="2"/>
      <x:c r="L88" s="2"/>
      <x:c r="M88" s="2"/>
      <x:c r="N88" s="2"/>
    </x:row>
    <x:row r="89" ht="36" customHeight="1">
      <x:c r="A89" s="31" t="str">
        <x:v>plzenska</x:v>
      </x:c>
      <x:c r="B89" s="22" t="n">
        <x:v>1937</x:v>
      </x:c>
      <x:c r="C89" s="22" t="n">
        <x:v>83</x:v>
      </x:c>
      <x:c r="D89" s="22" t="n">
        <x:v>83</x:v>
      </x:c>
      <x:c r="E89" s="22" t="n">
        <x:v>83</x:v>
      </x:c>
      <x:c r="F89" s="32" t="n">
        <x:v>-0.1</x:v>
      </x:c>
      <x:c r="G89" s="42"/>
      <x:c r="H89" s="42" t="str">
        <x:v>Vklady is the source deposit line; veritele are general creditors, not interbank-only. Debtors/bills are not isolated nonfinancial customer lending.</x:v>
      </x:c>
      <x:c r="I89" s="2"/>
      <x:c r="J89" s="2"/>
      <x:c r="K89" s="2"/>
      <x:c r="L89" s="2"/>
      <x:c r="M89" s="2"/>
      <x:c r="N89" s="2"/>
    </x:row>
    <x:row r="90" ht="50" customHeight="1">
      <x:c r="A90" s="29" t="str">
        <x:v>sporobanka</x:v>
      </x:c>
      <x:c r="B90" s="19" t="n">
        <x:v>1933</x:v>
      </x:c>
      <x:c r="C90" s="19" t="n">
        <x:v>86</x:v>
      </x:c>
      <x:c r="D90" s="19" t="n">
        <x:v>86</x:v>
      </x:c>
      <x:c r="E90" s="19" t="n">
        <x:v>86</x:v>
      </x:c>
      <x:c r="F90" s="30" t="n">
        <x:v>0</x:v>
      </x:c>
      <x:c r="G90" s="41" t="str">
        <x:v>savings_bank_central_institution</x:v>
      </x:c>
      <x:c r="H90" s="41" t="str">
        <x:v>Vklady is the source deposit line; veritele are general creditors, not interbank-only. Debtors/bills are not isolated nonfinancial customer lending. Cash includes Treasury bills in 1935–1937; 1937 central-institution reorganization.</x:v>
      </x:c>
      <x:c r="I90" s="2"/>
      <x:c r="J90" s="2"/>
      <x:c r="K90" s="2"/>
      <x:c r="L90" s="2"/>
      <x:c r="M90" s="2"/>
      <x:c r="N90" s="2"/>
    </x:row>
    <x:row r="91" ht="50" customHeight="1">
      <x:c r="A91" s="31" t="str">
        <x:v>sporobanka</x:v>
      </x:c>
      <x:c r="B91" s="22" t="n">
        <x:v>1934</x:v>
      </x:c>
      <x:c r="C91" s="22" t="n">
        <x:v>86</x:v>
      </x:c>
      <x:c r="D91" s="22" t="n">
        <x:v>86</x:v>
      </x:c>
      <x:c r="E91" s="22" t="n">
        <x:v>86</x:v>
      </x:c>
      <x:c r="F91" s="32" t="n">
        <x:v>0</x:v>
      </x:c>
      <x:c r="G91" s="42" t="str">
        <x:v>savings_bank_central_institution</x:v>
      </x:c>
      <x:c r="H91" s="42" t="str">
        <x:v>Vklady is the source deposit line; veritele are general creditors, not interbank-only. Debtors/bills are not isolated nonfinancial customer lending. Cash includes Treasury bills in 1935–1937; 1937 central-institution reorganization.</x:v>
      </x:c>
      <x:c r="I91" s="2"/>
      <x:c r="J91" s="2"/>
      <x:c r="K91" s="2"/>
      <x:c r="L91" s="2"/>
      <x:c r="M91" s="2"/>
      <x:c r="N91" s="2"/>
    </x:row>
    <x:row r="92" ht="50" customHeight="1">
      <x:c r="A92" s="29" t="str">
        <x:v>sporobanka</x:v>
      </x:c>
      <x:c r="B92" s="19" t="n">
        <x:v>1935</x:v>
      </x:c>
      <x:c r="C92" s="19" t="n">
        <x:v>86</x:v>
      </x:c>
      <x:c r="D92" s="19" t="n">
        <x:v>86</x:v>
      </x:c>
      <x:c r="E92" s="19" t="n">
        <x:v>86</x:v>
      </x:c>
      <x:c r="F92" s="30" t="n">
        <x:v>0</x:v>
      </x:c>
      <x:c r="G92" s="41" t="str">
        <x:v>savings_bank_central_institution;cash_includes_treasury_bills</x:v>
      </x:c>
      <x:c r="H92" s="41" t="str">
        <x:v>Vklady is the source deposit line; veritele are general creditors, not interbank-only. Debtors/bills are not isolated nonfinancial customer lending. Cash includes Treasury bills in 1935–1937; 1937 central-institution reorganization.</x:v>
      </x:c>
      <x:c r="I92" s="2"/>
      <x:c r="J92" s="2"/>
      <x:c r="K92" s="2"/>
      <x:c r="L92" s="2"/>
      <x:c r="M92" s="2"/>
      <x:c r="N92" s="2"/>
    </x:row>
    <x:row r="93" ht="50" customHeight="1">
      <x:c r="A93" s="31" t="str">
        <x:v>sporobanka</x:v>
      </x:c>
      <x:c r="B93" s="22" t="n">
        <x:v>1936</x:v>
      </x:c>
      <x:c r="C93" s="22" t="n">
        <x:v>86</x:v>
      </x:c>
      <x:c r="D93" s="22" t="n">
        <x:v>86</x:v>
      </x:c>
      <x:c r="E93" s="22" t="n">
        <x:v>86</x:v>
      </x:c>
      <x:c r="F93" s="32" t="n">
        <x:v>0</x:v>
      </x:c>
      <x:c r="G93" s="42" t="str">
        <x:v>savings_bank_central_institution;cash_includes_treasury_bills</x:v>
      </x:c>
      <x:c r="H93" s="42" t="str">
        <x:v>Vklady is the source deposit line; veritele are general creditors, not interbank-only. Debtors/bills are not isolated nonfinancial customer lending. Cash includes Treasury bills in 1935–1937; 1937 central-institution reorganization.</x:v>
      </x:c>
      <x:c r="I93" s="2"/>
      <x:c r="J93" s="2"/>
      <x:c r="K93" s="2"/>
      <x:c r="L93" s="2"/>
      <x:c r="M93" s="2"/>
      <x:c r="N93" s="2"/>
    </x:row>
    <x:row r="94" ht="50" customHeight="1">
      <x:c r="A94" s="29" t="str">
        <x:v>sporobanka</x:v>
      </x:c>
      <x:c r="B94" s="19" t="n">
        <x:v>1937</x:v>
      </x:c>
      <x:c r="C94" s="19" t="n">
        <x:v>86</x:v>
      </x:c>
      <x:c r="D94" s="19" t="n">
        <x:v>86</x:v>
      </x:c>
      <x:c r="E94" s="19" t="n">
        <x:v>86</x:v>
      </x:c>
      <x:c r="F94" s="30" t="n">
        <x:v>0</x:v>
      </x:c>
      <x:c r="G94" s="41" t="str">
        <x:v>savings_bank_central_institution;cash_includes_treasury_bills;savings_bank_mandate_expansion</x:v>
      </x:c>
      <x:c r="H94" s="41" t="str">
        <x:v>Vklady is the source deposit line; veritele are general creditors, not interbank-only. Debtors/bills are not isolated nonfinancial customer lending. Cash includes Treasury bills in 1935–1937; 1937 central-institution reorganization.</x:v>
      </x:c>
      <x:c r="I94" s="2"/>
      <x:c r="J94" s="2"/>
      <x:c r="K94" s="2"/>
      <x:c r="L94" s="2"/>
      <x:c r="M94" s="2"/>
      <x:c r="N94" s="2"/>
    </x:row>
    <x:row r="95" ht="36" customHeight="1">
      <x:c r="A95" s="31" t="str">
        <x:v>zivno</x:v>
      </x:c>
      <x:c r="B95" s="22" t="n">
        <x:v>1933</x:v>
      </x:c>
      <x:c r="C95" s="22" t="n">
        <x:v>88</x:v>
      </x:c>
      <x:c r="D95" s="22" t="n">
        <x:v>88</x:v>
      </x:c>
      <x:c r="E95" s="22" t="n">
        <x:v>88</x:v>
      </x:c>
      <x:c r="F95" s="32" t="n">
        <x:v>0</x:v>
      </x:c>
      <x:c r="G95" s="42"/>
      <x:c r="H95" s="42" t="str">
        <x:v>Vklady is the source deposit line; veritele are general creditors, not interbank-only. Debtors/bills are not isolated nonfinancial customer lending.</x:v>
      </x:c>
      <x:c r="I95" s="2"/>
      <x:c r="J95" s="2"/>
      <x:c r="K95" s="2"/>
      <x:c r="L95" s="2"/>
      <x:c r="M95" s="2"/>
      <x:c r="N95" s="2"/>
    </x:row>
    <x:row r="96" ht="36" customHeight="1">
      <x:c r="A96" s="29" t="str">
        <x:v>zivno</x:v>
      </x:c>
      <x:c r="B96" s="19" t="n">
        <x:v>1934</x:v>
      </x:c>
      <x:c r="C96" s="19" t="n">
        <x:v>88</x:v>
      </x:c>
      <x:c r="D96" s="19" t="n">
        <x:v>88</x:v>
      </x:c>
      <x:c r="E96" s="19" t="n">
        <x:v>88</x:v>
      </x:c>
      <x:c r="F96" s="30" t="n">
        <x:v>0</x:v>
      </x:c>
      <x:c r="G96" s="41"/>
      <x:c r="H96" s="41" t="str">
        <x:v>Vklady is the source deposit line; veritele are general creditors, not interbank-only. Debtors/bills are not isolated nonfinancial customer lending.</x:v>
      </x:c>
      <x:c r="I96" s="2"/>
      <x:c r="J96" s="2"/>
      <x:c r="K96" s="2"/>
      <x:c r="L96" s="2"/>
      <x:c r="M96" s="2"/>
      <x:c r="N96" s="2"/>
    </x:row>
    <x:row r="97" ht="36" customHeight="1">
      <x:c r="A97" s="31" t="str">
        <x:v>zivno</x:v>
      </x:c>
      <x:c r="B97" s="22" t="n">
        <x:v>1935</x:v>
      </x:c>
      <x:c r="C97" s="22" t="n">
        <x:v>88</x:v>
      </x:c>
      <x:c r="D97" s="22" t="n">
        <x:v>88</x:v>
      </x:c>
      <x:c r="E97" s="22" t="n">
        <x:v>88</x:v>
      </x:c>
      <x:c r="F97" s="32" t="n">
        <x:v>0</x:v>
      </x:c>
      <x:c r="G97" s="42"/>
      <x:c r="H97" s="42" t="str">
        <x:v>Vklady is the source deposit line; veritele are general creditors, not interbank-only. Debtors/bills are not isolated nonfinancial customer lending.</x:v>
      </x:c>
      <x:c r="I97" s="2"/>
      <x:c r="J97" s="2"/>
      <x:c r="K97" s="2"/>
      <x:c r="L97" s="2"/>
      <x:c r="M97" s="2"/>
      <x:c r="N97" s="2"/>
    </x:row>
    <x:row r="98" ht="36" customHeight="1">
      <x:c r="A98" s="29" t="str">
        <x:v>zivno</x:v>
      </x:c>
      <x:c r="B98" s="19" t="n">
        <x:v>1936</x:v>
      </x:c>
      <x:c r="C98" s="19" t="n">
        <x:v>88</x:v>
      </x:c>
      <x:c r="D98" s="19" t="n">
        <x:v>88</x:v>
      </x:c>
      <x:c r="E98" s="19" t="n">
        <x:v>88</x:v>
      </x:c>
      <x:c r="F98" s="30" t="n">
        <x:v>0</x:v>
      </x:c>
      <x:c r="G98" s="41"/>
      <x:c r="H98" s="41" t="str">
        <x:v>Vklady is the source deposit line; veritele are general creditors, not interbank-only. Debtors/bills are not isolated nonfinancial customer lending.</x:v>
      </x:c>
      <x:c r="I98" s="2"/>
      <x:c r="J98" s="2"/>
      <x:c r="K98" s="2"/>
      <x:c r="L98" s="2"/>
      <x:c r="M98" s="2"/>
      <x:c r="N98" s="2"/>
    </x:row>
    <x:row r="99" ht="36" customHeight="1">
      <x:c r="A99" s="31" t="str">
        <x:v>zivno</x:v>
      </x:c>
      <x:c r="B99" s="22" t="n">
        <x:v>1937</x:v>
      </x:c>
      <x:c r="C99" s="22" t="n">
        <x:v>88</x:v>
      </x:c>
      <x:c r="D99" s="22" t="n">
        <x:v>88</x:v>
      </x:c>
      <x:c r="E99" s="22" t="n">
        <x:v>88</x:v>
      </x:c>
      <x:c r="F99" s="32" t="n">
        <x:v>0.1</x:v>
      </x:c>
      <x:c r="G99" s="42"/>
      <x:c r="H99" s="42" t="str">
        <x:v>Vklady is the source deposit line; veritele are general creditors, not interbank-only. Debtors/bills are not isolated nonfinancial customer lending.</x:v>
      </x:c>
      <x:c r="I99" s="2"/>
      <x:c r="J99" s="2"/>
      <x:c r="K99" s="2"/>
      <x:c r="L99" s="2"/>
      <x:c r="M99" s="2"/>
      <x:c r="N99" s="2"/>
    </x:row>
    <x:row r="100" ht="36" customHeight="1">
      <x:c r="A100" s="29" t="str">
        <x:v>anglo</x:v>
      </x:c>
      <x:c r="B100" s="19" t="n">
        <x:v>1933</x:v>
      </x:c>
      <x:c r="C100" s="19" t="n">
        <x:v>229</x:v>
      </x:c>
      <x:c r="D100" s="19" t="n">
        <x:v>229</x:v>
      </x:c>
      <x:c r="E100" s="19" t="n">
        <x:v>230</x:v>
      </x:c>
      <x:c r="F100" s="30" t="n">
        <x:v>0</x:v>
      </x:c>
      <x:c r="G100" s="41"/>
      <x:c r="H100" s="41" t="str">
        <x:v>Vklady is the source deposit line; veritele are general creditors, not interbank-only. Debtors/bills are not isolated nonfinancial customer lending.</x:v>
      </x:c>
      <x:c r="I100" s="2"/>
      <x:c r="J100" s="2"/>
      <x:c r="K100" s="2"/>
      <x:c r="L100" s="2"/>
      <x:c r="M100" s="2"/>
      <x:c r="N100" s="2"/>
    </x:row>
    <x:row r="101" ht="36" customHeight="1">
      <x:c r="A101" s="31" t="str">
        <x:v>anglo</x:v>
      </x:c>
      <x:c r="B101" s="22" t="n">
        <x:v>1934</x:v>
      </x:c>
      <x:c r="C101" s="22" t="n">
        <x:v>229</x:v>
      </x:c>
      <x:c r="D101" s="22" t="n">
        <x:v>229</x:v>
      </x:c>
      <x:c r="E101" s="22" t="n">
        <x:v>230</x:v>
      </x:c>
      <x:c r="F101" s="32" t="n">
        <x:v>0</x:v>
      </x:c>
      <x:c r="G101" s="42"/>
      <x:c r="H101" s="42" t="str">
        <x:v>Vklady is the source deposit line; veritele are general creditors, not interbank-only. Debtors/bills are not isolated nonfinancial customer lending.</x:v>
      </x:c>
    </x:row>
    <x:row r="102" ht="36" customHeight="1">
      <x:c r="A102" s="29" t="str">
        <x:v>anglo</x:v>
      </x:c>
      <x:c r="B102" s="19" t="n">
        <x:v>1935</x:v>
      </x:c>
      <x:c r="C102" s="19" t="n">
        <x:v>229</x:v>
      </x:c>
      <x:c r="D102" s="19" t="n">
        <x:v>229</x:v>
      </x:c>
      <x:c r="E102" s="19" t="n">
        <x:v>230</x:v>
      </x:c>
      <x:c r="F102" s="30" t="n">
        <x:v>-0.1</x:v>
      </x:c>
      <x:c r="G102" s="41"/>
      <x:c r="H102" s="41" t="str">
        <x:v>Vklady is the source deposit line; veritele are general creditors, not interbank-only. Debtors/bills are not isolated nonfinancial customer lending.</x:v>
      </x:c>
    </x:row>
    <x:row r="103" ht="36" customHeight="1">
      <x:c r="A103" s="31" t="str">
        <x:v>anglo</x:v>
      </x:c>
      <x:c r="B103" s="22" t="n">
        <x:v>1936</x:v>
      </x:c>
      <x:c r="C103" s="22" t="n">
        <x:v>229</x:v>
      </x:c>
      <x:c r="D103" s="22" t="n">
        <x:v>229</x:v>
      </x:c>
      <x:c r="E103" s="22" t="n">
        <x:v>230</x:v>
      </x:c>
      <x:c r="F103" s="32" t="n">
        <x:v>0</x:v>
      </x:c>
      <x:c r="G103" s="42"/>
      <x:c r="H103" s="42" t="str">
        <x:v>Vklady is the source deposit line; veritele are general creditors, not interbank-only. Debtors/bills are not isolated nonfinancial customer lending.</x:v>
      </x:c>
    </x:row>
    <x:row r="104" ht="36" customHeight="1">
      <x:c r="A104" s="29" t="str">
        <x:v>anglo</x:v>
      </x:c>
      <x:c r="B104" s="19" t="n">
        <x:v>1937</x:v>
      </x:c>
      <x:c r="C104" s="19" t="n">
        <x:v>229</x:v>
      </x:c>
      <x:c r="D104" s="19" t="n">
        <x:v>229</x:v>
      </x:c>
      <x:c r="E104" s="19" t="n">
        <x:v>230</x:v>
      </x:c>
      <x:c r="F104" s="30" t="n">
        <x:v>0</x:v>
      </x:c>
      <x:c r="G104" s="41"/>
      <x:c r="H104" s="41" t="str">
        <x:v>Vklady is the source deposit line; veritele are general creditors, not interbank-only. Debtors/bills are not isolated nonfinancial customer lending.</x:v>
      </x:c>
    </x:row>
    <x:row r="105" ht="64" customHeight="1">
      <x:c r="A105" s="31" t="str">
        <x:v>legio</x:v>
      </x:c>
      <x:c r="B105" s="22" t="n">
        <x:v>1933</x:v>
      </x:c>
      <x:c r="C105" s="22" t="n">
        <x:v>231</x:v>
      </x:c>
      <x:c r="D105" s="22" t="n">
        <x:v>231</x:v>
      </x:c>
      <x:c r="E105" s="22" t="n">
        <x:v>231</x:v>
      </x:c>
      <x:c r="F105" s="32" t="n">
        <x:v>0</x:v>
      </x:c>
      <x:c r="G105" s="42" t="str">
        <x:v>source_deposits_include_mortgage_borrowing</x:v>
      </x:c>
      <x:c r="H105" s="42" t="str">
        <x:v>Vklady is the source deposit line; veritele are general creditors, not interbank-only. Debtors/bills are not isolated nonfinancial customer lending. Vklady includes mortgage borrowing (source note 1). Stabilization fund is separately reported, not merged with explicit reserves.</x:v>
      </x:c>
    </x:row>
    <x:row r="106" ht="64" customHeight="1">
      <x:c r="A106" s="29" t="str">
        <x:v>legio</x:v>
      </x:c>
      <x:c r="B106" s="19" t="n">
        <x:v>1934</x:v>
      </x:c>
      <x:c r="C106" s="19" t="n">
        <x:v>231</x:v>
      </x:c>
      <x:c r="D106" s="19" t="n">
        <x:v>231</x:v>
      </x:c>
      <x:c r="E106" s="19" t="n">
        <x:v>231</x:v>
      </x:c>
      <x:c r="F106" s="30" t="n">
        <x:v>0</x:v>
      </x:c>
      <x:c r="G106" s="41" t="str">
        <x:v>source_deposits_include_mortgage_borrowing</x:v>
      </x:c>
      <x:c r="H106" s="41" t="str">
        <x:v>Vklady is the source deposit line; veritele are general creditors, not interbank-only. Debtors/bills are not isolated nonfinancial customer lending. Vklady includes mortgage borrowing (source note 1). Stabilization fund is separately reported, not merged with explicit reserves.</x:v>
      </x:c>
    </x:row>
    <x:row r="107" ht="64" customHeight="1">
      <x:c r="A107" s="31" t="str">
        <x:v>legio</x:v>
      </x:c>
      <x:c r="B107" s="22" t="n">
        <x:v>1935</x:v>
      </x:c>
      <x:c r="C107" s="22" t="n">
        <x:v>231</x:v>
      </x:c>
      <x:c r="D107" s="22" t="n">
        <x:v>231</x:v>
      </x:c>
      <x:c r="E107" s="22" t="n">
        <x:v>231</x:v>
      </x:c>
      <x:c r="F107" s="32" t="n">
        <x:v>0</x:v>
      </x:c>
      <x:c r="G107" s="42" t="str">
        <x:v>source_deposits_include_mortgage_borrowing</x:v>
      </x:c>
      <x:c r="H107" s="42" t="str">
        <x:v>Vklady is the source deposit line; veritele are general creditors, not interbank-only. Debtors/bills are not isolated nonfinancial customer lending. Vklady includes mortgage borrowing (source note 1). Stabilization fund is separately reported, not merged with explicit reserves.</x:v>
      </x:c>
    </x:row>
    <x:row r="108" ht="64" customHeight="1">
      <x:c r="A108" s="29" t="str">
        <x:v>legio</x:v>
      </x:c>
      <x:c r="B108" s="19" t="n">
        <x:v>1936</x:v>
      </x:c>
      <x:c r="C108" s="19" t="n">
        <x:v>231</x:v>
      </x:c>
      <x:c r="D108" s="19" t="n">
        <x:v>231</x:v>
      </x:c>
      <x:c r="E108" s="19" t="n">
        <x:v>231</x:v>
      </x:c>
      <x:c r="F108" s="30" t="n">
        <x:v>0</x:v>
      </x:c>
      <x:c r="G108" s="41" t="str">
        <x:v>source_deposits_include_mortgage_borrowing</x:v>
      </x:c>
      <x:c r="H108" s="41" t="str">
        <x:v>Vklady is the source deposit line; veritele are general creditors, not interbank-only. Debtors/bills are not isolated nonfinancial customer lending. Vklady includes mortgage borrowing (source note 1). Stabilization fund is separately reported, not merged with explicit reserves.</x:v>
      </x:c>
    </x:row>
    <x:row r="109" ht="64" customHeight="1">
      <x:c r="A109" s="31" t="str">
        <x:v>legio</x:v>
      </x:c>
      <x:c r="B109" s="22" t="n">
        <x:v>1937</x:v>
      </x:c>
      <x:c r="C109" s="22" t="n">
        <x:v>231</x:v>
      </x:c>
      <x:c r="D109" s="22" t="n">
        <x:v>231</x:v>
      </x:c>
      <x:c r="E109" s="22" t="n">
        <x:v>231</x:v>
      </x:c>
      <x:c r="F109" s="32" t="n">
        <x:v>0</x:v>
      </x:c>
      <x:c r="G109" s="42" t="str">
        <x:v>source_deposits_include_mortgage_borrowing</x:v>
      </x:c>
      <x:c r="H109" s="42" t="str">
        <x:v>Vklady is the source deposit line; veritele are general creditors, not interbank-only. Debtors/bills are not isolated nonfinancial customer lending. Vklady includes mortgage borrowing (source note 1). Stabilization fund is separately reported, not merged with explicit reserves.</x:v>
      </x:c>
    </x:row>
    <x:row r="110" ht="36" customHeight="1">
      <x:c r="A110" s="29" t="str">
        <x:v>deutagr</x:v>
      </x:c>
      <x:c r="B110" s="19" t="n">
        <x:v>1933</x:v>
      </x:c>
      <x:c r="C110" s="19" t="n">
        <x:v>232</x:v>
      </x:c>
      <x:c r="D110" s="19" t="n">
        <x:v>232</x:v>
      </x:c>
      <x:c r="E110" s="19" t="n">
        <x:v>233</x:v>
      </x:c>
      <x:c r="F110" s="30" t="n">
        <x:v>0</x:v>
      </x:c>
      <x:c r="G110" s="41"/>
      <x:c r="H110" s="41" t="str">
        <x:v>Vklady is the source deposit line; veritele are general creditors, not interbank-only. Debtors/bills are not isolated nonfinancial customer lending.</x:v>
      </x:c>
    </x:row>
    <x:row r="111" ht="36" customHeight="1">
      <x:c r="A111" s="31" t="str">
        <x:v>deutagr</x:v>
      </x:c>
      <x:c r="B111" s="22" t="n">
        <x:v>1934</x:v>
      </x:c>
      <x:c r="C111" s="22" t="n">
        <x:v>232</x:v>
      </x:c>
      <x:c r="D111" s="22" t="n">
        <x:v>232</x:v>
      </x:c>
      <x:c r="E111" s="22" t="n">
        <x:v>233</x:v>
      </x:c>
      <x:c r="F111" s="32" t="n">
        <x:v>0</x:v>
      </x:c>
      <x:c r="G111" s="42"/>
      <x:c r="H111" s="42" t="str">
        <x:v>Vklady is the source deposit line; veritele are general creditors, not interbank-only. Debtors/bills are not isolated nonfinancial customer lending.</x:v>
      </x:c>
    </x:row>
    <x:row r="112" ht="36" customHeight="1">
      <x:c r="A112" s="29" t="str">
        <x:v>deutagr</x:v>
      </x:c>
      <x:c r="B112" s="19" t="n">
        <x:v>1935</x:v>
      </x:c>
      <x:c r="C112" s="19" t="n">
        <x:v>232</x:v>
      </x:c>
      <x:c r="D112" s="19" t="n">
        <x:v>232</x:v>
      </x:c>
      <x:c r="E112" s="19" t="n">
        <x:v>233</x:v>
      </x:c>
      <x:c r="F112" s="30" t="n">
        <x:v>0</x:v>
      </x:c>
      <x:c r="G112" s="41"/>
      <x:c r="H112" s="41" t="str">
        <x:v>Vklady is the source deposit line; veritele are general creditors, not interbank-only. Debtors/bills are not isolated nonfinancial customer lending.</x:v>
      </x:c>
    </x:row>
    <x:row r="113" ht="36" customHeight="1">
      <x:c r="A113" s="31" t="str">
        <x:v>deutagr</x:v>
      </x:c>
      <x:c r="B113" s="22" t="n">
        <x:v>1936</x:v>
      </x:c>
      <x:c r="C113" s="22" t="n">
        <x:v>232</x:v>
      </x:c>
      <x:c r="D113" s="22" t="n">
        <x:v>232</x:v>
      </x:c>
      <x:c r="E113" s="22" t="n">
        <x:v>233</x:v>
      </x:c>
      <x:c r="F113" s="32" t="n">
        <x:v>0</x:v>
      </x:c>
      <x:c r="G113" s="42"/>
      <x:c r="H113" s="42" t="str">
        <x:v>Vklady is the source deposit line; veritele are general creditors, not interbank-only. Debtors/bills are not isolated nonfinancial customer lending.</x:v>
      </x:c>
    </x:row>
    <x:row r="114" ht="36" customHeight="1">
      <x:c r="A114" s="29" t="str">
        <x:v>deutagr</x:v>
      </x:c>
      <x:c r="B114" s="19" t="n">
        <x:v>1937</x:v>
      </x:c>
      <x:c r="C114" s="19" t="n">
        <x:v>232</x:v>
      </x:c>
      <x:c r="D114" s="19" t="n">
        <x:v>232</x:v>
      </x:c>
      <x:c r="E114" s="19" t="n">
        <x:v>233</x:v>
      </x:c>
      <x:c r="F114" s="30" t="n">
        <x:v>0</x:v>
      </x:c>
      <x:c r="G114" s="41"/>
      <x:c r="H114" s="41" t="str">
        <x:v>Vklady is the source deposit line; veritele are general creditors, not interbank-only. Debtors/bills are not isolated nonfinancial customer lending.</x:v>
      </x:c>
    </x:row>
    <x:row r="115" ht="50" customHeight="1">
      <x:c r="A115" s="31" t="str">
        <x:v>vseobdruz</x:v>
      </x:c>
      <x:c r="B115" s="22" t="n">
        <x:v>1933</x:v>
      </x:c>
      <x:c r="C115" s="22" t="n">
        <x:v>234</x:v>
      </x:c>
      <x:c r="D115" s="22" t="n">
        <x:v>235</x:v>
      </x:c>
      <x:c r="E115" s="22" t="n">
        <x:v>235</x:v>
      </x:c>
      <x:c r="F115" s="32" t="n">
        <x:v>0</x:v>
      </x:c>
      <x:c r="G115" s="42" t="str">
        <x:v>securities_include_participations</x:v>
      </x:c>
      <x:c r="H115" s="42" t="str">
        <x:v>Vklady is the source deposit line; veritele are general creditors, not interbank-only. Debtors/bills are not isolated nonfinancial customer lending. Securities include participations (source note 1); no separate participation line.</x:v>
      </x:c>
    </x:row>
    <x:row r="116" ht="50" customHeight="1">
      <x:c r="A116" s="29" t="str">
        <x:v>vseobdruz</x:v>
      </x:c>
      <x:c r="B116" s="19" t="n">
        <x:v>1934</x:v>
      </x:c>
      <x:c r="C116" s="19" t="n">
        <x:v>234</x:v>
      </x:c>
      <x:c r="D116" s="19" t="n">
        <x:v>235</x:v>
      </x:c>
      <x:c r="E116" s="19" t="n">
        <x:v>235</x:v>
      </x:c>
      <x:c r="F116" s="30" t="n">
        <x:v>0</x:v>
      </x:c>
      <x:c r="G116" s="41" t="str">
        <x:v>securities_include_participations</x:v>
      </x:c>
      <x:c r="H116" s="41" t="str">
        <x:v>Vklady is the source deposit line; veritele are general creditors, not interbank-only. Debtors/bills are not isolated nonfinancial customer lending. Securities include participations (source note 1); no separate participation line.</x:v>
      </x:c>
    </x:row>
    <x:row r="117" ht="50" customHeight="1">
      <x:c r="A117" s="31" t="str">
        <x:v>vseobdruz</x:v>
      </x:c>
      <x:c r="B117" s="22" t="n">
        <x:v>1935</x:v>
      </x:c>
      <x:c r="C117" s="22" t="n">
        <x:v>234</x:v>
      </x:c>
      <x:c r="D117" s="22" t="n">
        <x:v>235</x:v>
      </x:c>
      <x:c r="E117" s="22" t="n">
        <x:v>235</x:v>
      </x:c>
      <x:c r="F117" s="32" t="n">
        <x:v>0</x:v>
      </x:c>
      <x:c r="G117" s="42" t="str">
        <x:v>securities_include_participations</x:v>
      </x:c>
      <x:c r="H117" s="42" t="str">
        <x:v>Vklady is the source deposit line; veritele are general creditors, not interbank-only. Debtors/bills are not isolated nonfinancial customer lending. Securities include participations (source note 1); no separate participation line.</x:v>
      </x:c>
    </x:row>
    <x:row r="118" ht="50" customHeight="1">
      <x:c r="A118" s="29" t="str">
        <x:v>vseobdruz</x:v>
      </x:c>
      <x:c r="B118" s="19" t="n">
        <x:v>1936</x:v>
      </x:c>
      <x:c r="C118" s="19" t="n">
        <x:v>234</x:v>
      </x:c>
      <x:c r="D118" s="19" t="n">
        <x:v>235</x:v>
      </x:c>
      <x:c r="E118" s="19" t="n">
        <x:v>235</x:v>
      </x:c>
      <x:c r="F118" s="30" t="n">
        <x:v>0</x:v>
      </x:c>
      <x:c r="G118" s="41" t="str">
        <x:v>securities_include_participations</x:v>
      </x:c>
      <x:c r="H118" s="41" t="str">
        <x:v>Vklady is the source deposit line; veritele are general creditors, not interbank-only. Debtors/bills are not isolated nonfinancial customer lending. Securities include participations (source note 1); no separate participation line.</x:v>
      </x:c>
    </x:row>
    <x:row r="119" ht="50" customHeight="1">
      <x:c r="A119" s="31" t="str">
        <x:v>vseobdruz</x:v>
      </x:c>
      <x:c r="B119" s="22" t="n">
        <x:v>1937</x:v>
      </x:c>
      <x:c r="C119" s="22" t="n">
        <x:v>234</x:v>
      </x:c>
      <x:c r="D119" s="22" t="n">
        <x:v>235</x:v>
      </x:c>
      <x:c r="E119" s="22" t="n">
        <x:v>235</x:v>
      </x:c>
      <x:c r="F119" s="32" t="n">
        <x:v>0</x:v>
      </x:c>
      <x:c r="G119" s="42" t="str">
        <x:v>securities_include_participations</x:v>
      </x:c>
      <x:c r="H119" s="42" t="str">
        <x:v>Vklady is the source deposit line; veritele are general creditors, not interbank-only. Debtors/bills are not isolated nonfinancial customer lending. Securities include participations (source note 1); no separate participation line.</x:v>
      </x:c>
    </x:row>
    <x:row r="124">
      <x:c r="A124" s="48" t="str">
        <x:v>Dated reserve and capital events</x:v>
      </x:c>
    </x:row>
    <x:row r="126" ht="48" customHeight="1">
      <x:c r="A126" s="15" t="str">
        <x:v>Bank ID</x:v>
      </x:c>
      <x:c r="B126" s="16" t="str">
        <x:v>Year</x:v>
      </x:c>
      <x:c r="C126" s="16" t="str">
        <x:v>Amount (m Kč)</x:v>
      </x:c>
      <x:c r="D126" s="16" t="str">
        <x:v>Amount status</x:v>
      </x:c>
      <x:c r="E126" s="16" t="str">
        <x:v>Recorded event</x:v>
      </x:c>
      <x:c r="F126" s="16" t="str">
        <x:v>Interpretation</x:v>
      </x:c>
      <x:c r="G126" s="17" t="str">
        <x:v>Source PDF pages</x:v>
      </x:c>
    </x:row>
    <x:row r="127" ht="36" customHeight="1">
      <x:c r="A127" s="29" t="str">
        <x:v>escomp</x:v>
      </x:c>
      <x:c r="B127" s="19" t="n">
        <x:v>1935</x:v>
      </x:c>
      <x:c r="C127" s="30" t="n">
        <x:v>48</x:v>
      </x:c>
      <x:c r="D127" s="41" t="str">
        <x:v>reported_transfer_or_utilization</x:v>
      </x:c>
      <x:c r="E127" s="41" t="str">
        <x:v>Transfer from published to hidden reserves.</x:v>
      </x:c>
      <x:c r="F127" s="41" t="str">
        <x:v>Gross reclassification; no automatic addition to aggregate equity. Cancellation of own shares separately reduces capital from 170 to 130 million Kč.</x:v>
      </x:c>
      <x:c r="G127" s="29" t="str">
        <x:v>71;73</x:v>
      </x:c>
    </x:row>
    <x:row r="128" ht="36" customHeight="1">
      <x:c r="A128" s="31" t="str">
        <x:v>lander</x:v>
      </x:c>
      <x:c r="B128" s="22" t="n">
        <x:v>1937</x:v>
      </x:c>
      <x:c r="C128" s="32" t="n">
        <x:v>46</x:v>
      </x:c>
      <x:c r="D128" s="42" t="str">
        <x:v>reported_transfer_or_utilization</x:v>
      </x:c>
      <x:c r="E128" s="42" t="str">
        <x:v>Earmarked provision for current-account debtors moved to other liabilities.</x:v>
      </x:c>
      <x:c r="F128" s="42" t="str">
        <x:v>The 46 million transfer is not identical to the 45.9 million net fall in published reserves; other movements offset part of the transfer.</x:v>
      </x:c>
      <x:c r="G128" s="31" t="str">
        <x:v>66</x:v>
      </x:c>
    </x:row>
    <x:row r="129" ht="50" customHeight="1">
      <x:c r="A129" s="29" t="str">
        <x:v>legio</x:v>
      </x:c>
      <x:c r="B129" s="19" t="n">
        <x:v>1935</x:v>
      </x:c>
      <x:c r="C129" s="30" t="n">
        <x:v>35</x:v>
      </x:c>
      <x:c r="D129" s="41" t="str">
        <x:v>reported_transfer_or_utilization</x:v>
      </x:c>
      <x:c r="E129" s="41" t="str">
        <x:v>Separate stabilization fund used on 1 January 1935 to reduce property, inventory and participation values.</x:v>
      </x:c>
      <x:c r="F129" s="41" t="str">
        <x:v>The separate fund was 35 million in 1933 and 1934 and is a dash thereafter. Explicit published reserves remained 65 million. Its League reserve classification is unestablished.</x:v>
      </x:c>
      <x:c r="G129" s="29" t="str">
        <x:v>231</x:v>
      </x:c>
    </x:row>
    <x:row r="130" ht="36" customHeight="1">
      <x:c r="A130" s="31" t="str">
        <x:v>ceska</x:v>
      </x:c>
      <x:c r="B130" s="22" t="n">
        <x:v>1935</x:v>
      </x:c>
      <x:c r="C130" s="32" t="n">
        <x:v>0.7</x:v>
      </x:c>
      <x:c r="D130" s="42" t="str">
        <x:v>derived_opening_adjustment</x:v>
      </x:c>
      <x:c r="E130" s="42" t="str">
        <x:v>Restabilization opening balance reduced reserves from 10.0 to 9.3 million.</x:v>
      </x:c>
      <x:c r="F130" s="42" t="str">
        <x:v>The 0.7 million amount is the calculated opening adjustment; closing 1935 reserves were 9.4 million. Opening and closing values are not substituted.</x:v>
      </x:c>
      <x:c r="G130" s="31" t="str">
        <x:v>68</x:v>
      </x:c>
    </x:row>
    <x:row r="131" ht="50" customHeight="1">
      <x:c r="A131" s="29" t="str">
        <x:v>plzenska</x:v>
      </x:c>
      <x:c r="B131" s="19" t="n">
        <x:v>1935</x:v>
      </x:c>
      <x:c r="C131" s="30" t="n">
        <x:v>0.9</x:v>
      </x:c>
      <x:c r="D131" s="41" t="str">
        <x:v>derived_opening_adjustment</x:v>
      </x:c>
      <x:c r="E131" s="41" t="str">
        <x:v>Restabilization opening balance reduced reserves from 19.3 to 18.4 million.</x:v>
      </x:c>
      <x:c r="F131" s="41" t="str">
        <x:v>The 0.9 million amount is the calculated opening adjustment; closing 1935 reserves were 19.8 million. Positive endpoint reserve growth can coexist with this adjustment.</x:v>
      </x:c>
      <x:c r="G131" s="29" t="str">
        <x:v>83</x:v>
      </x:c>
    </x:row>
  </x:sheetData>
  <x:pageMargins left="0.7" right="0.7" top="0.75" bottom="0.75" header="0.3" footer="0.3"/>
  <x:tableParts count="4">
    <x:tablePart xmlns:r="http://schemas.openxmlformats.org/officeDocument/2006/relationships" r:id="Rbdf9e29c22f8436a"/>
    <x:tablePart xmlns:r="http://schemas.openxmlformats.org/officeDocument/2006/relationships" r:id="R1ba7713a96694bf5"/>
    <x:tablePart xmlns:r="http://schemas.openxmlformats.org/officeDocument/2006/relationships" r:id="R2650dc9b79cd4dbf"/>
    <x:tablePart xmlns:r="http://schemas.openxmlformats.org/officeDocument/2006/relationships" r:id="Rcef2fdaf8f5e4a76"/>
  </x:tableParts>
</x:worksheet>
</file>