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e2be411bea4a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ual totals" sheetId="1" r:id="Rfe6806cab28841a2"/>
    <x:sheet xmlns:r="http://schemas.openxmlformats.org/officeDocument/2006/relationships" name="Annual partners" sheetId="2" r:id="R73c4ff4fdfd746df"/>
    <x:sheet xmlns:r="http://schemas.openxmlformats.org/officeDocument/2006/relationships" name="Monthly totals" sheetId="3" r:id="Rf61f1a761b79446f"/>
    <x:sheet xmlns:r="http://schemas.openxmlformats.org/officeDocument/2006/relationships" name="Charts" sheetId="4" r:id="R12b0b0cc07cd43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"/>
    <x:numFmt numFmtId="201" formatCode="#,##0.000;[Red](#,##0.000);0.000"/>
    <x:numFmt numFmtId="202" formatCode="yyyy-mm-dd"/>
    <x:numFmt numFmtId="203" formatCode="#,##0.000;-#,##0.000;0.000"/>
    <x:numFmt numFmtId="204" formatCode="General"/>
    <x:numFmt numFmtId="205" formatCode="#,##0.000"/>
    <x:numFmt numFmtId="206" formatCode="0.00&quot;%&quot;;-0.00&quot;%&quot;;0.00&quot;%&quot;"/>
    <x:numFmt numFmtId="207" formatCode="0.0"/>
    <x:numFmt numFmtId="208" formatCode="0.0&quot;%&quot;"/>
  </x:numFmts>
  <x:fonts count="11">
    <x:font>
      <x:sz val="11"/>
      <x:name val="Carlito"/>
    </x:font>
    <x:font>
      <x:sz val="10"/>
      <x:color rgb="FF243444"/>
      <x:name val="Arial"/>
    </x:font>
    <x:font>
      <x:b/>
      <x:sz val="10"/>
      <x:color rgb="FFFFFFFF"/>
      <x:name val="Arial"/>
    </x:font>
    <x:font>
      <x:sz val="10"/>
      <x:color rgb="FF233C55"/>
      <x:name val="Arial"/>
    </x:font>
    <x:font>
      <x:b/>
      <x:sz val="16"/>
      <x:color rgb="FF233C55"/>
      <x:name val="Arial"/>
    </x:font>
    <x:font>
      <x:sz val="10"/>
      <x:color rgb="FF667988"/>
      <x:name val="Arial"/>
    </x:font>
    <x:font>
      <x:b/>
      <x:sz val="14"/>
      <x:color rgb="FF233C55"/>
      <x:name val="Arial"/>
    </x:font>
    <x:font>
      <x:b/>
      <x:sz val="11"/>
      <x:color rgb="FF233C55"/>
      <x:name val="Arial"/>
    </x:font>
    <x:font>
      <x:b/>
      <x:sz val="10"/>
      <x:color rgb="FF233C55"/>
      <x:name val="Arial"/>
    </x:font>
    <x:font>
      <x:i/>
      <x:sz val="10"/>
      <x:color rgb="FF667988"/>
      <x:name val="Arial"/>
    </x:font>
    <x:font>
      <x:sz val="10"/>
      <x:color rgb="FF102539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233C55"/>
      </x:patternFill>
    </x:fill>
    <x:fill>
      <x:patternFill patternType="solid">
        <x:fgColor rgb="FF233C55"/>
      </x:patternFill>
    </x:fill>
    <x:fill>
      <x:patternFill patternType="solid">
        <x:fgColor rgb="FFF6F8FA"/>
      </x:patternFill>
    </x:fill>
    <x:fill>
      <x:patternFill patternType="solid">
        <x:fgColor rgb="FFFFF1CA"/>
      </x:patternFill>
    </x:fill>
    <x:fill>
      <x:patternFill patternType="solid">
        <x:fgColor rgb="FF233C55"/>
      </x:patternFill>
    </x:fill>
    <x:fill>
      <x:patternFill patternType="solid">
        <x:fgColor rgb="FF233C55"/>
      </x:patternFill>
    </x:fill>
    <x:fill>
      <x:patternFill patternType="solid">
        <x:fgColor rgb="FFF6F8FA"/>
      </x:patternFill>
    </x:fill>
    <x:fill>
      <x:patternFill patternType="solid">
        <x:fgColor rgb="FFFFFFFF"/>
      </x:patternFill>
    </x:fill>
  </x:fills>
  <x:borders count="6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BCCCD6"/>
      </x:bottom>
      <x:diagonal/>
    </x:border>
    <x:border>
      <x:left style="thin">
        <x:color rgb="FFC7A24C"/>
      </x:left>
      <x:right style="thin">
        <x:color rgb="FFC7A24C"/>
      </x:right>
      <x:top style="thin">
        <x:color rgb="FFC7A24C"/>
      </x:top>
      <x:bottom style="thin">
        <x:color rgb="FFC7A24C"/>
      </x:bottom>
      <x:diagonal/>
    </x:border>
  </x:borders>
  <x:cellStyleXfs count="1">
    <x:xf numFmtId="0" fontId="0" fillId="0" borderId="0"/>
  </x:cellStyleXfs>
  <x:cellXfs count="7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lef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2" fillId="3" borderId="1" xfId="0" applyNumberFormat="1" applyFont="1" applyFill="1" applyBorder="1" applyAlignment="1">
      <x:alignment horizontal="center" vertical="center" wrapText="0"/>
    </x:xf>
    <x:xf numFmtId="0" fontId="2" fillId="3" borderId="2" xfId="0" applyNumberFormat="1" applyFont="1" applyFill="1" applyBorder="1" applyAlignment="1">
      <x:alignment horizontal="center" vertical="center" wrapText="0"/>
    </x:xf>
    <x:xf numFmtId="0" fontId="2" fillId="3" borderId="3" xfId="0" applyNumberFormat="1" applyFont="1" applyFill="1" applyBorder="1" applyAlignment="1">
      <x:alignment horizontal="center" vertical="center" wrapText="0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0" fontId="3" fillId="4" borderId="4" xfId="0" applyNumberFormat="1" applyFont="1" applyFill="1" applyBorder="1"/>
    <x:xf numFmtId="0" fontId="6" fillId="4" borderId="0" xfId="0" applyNumberFormat="1" applyFont="1" applyFill="1" applyBorder="1"/>
    <x:xf numFmtId="200" fontId="3" fillId="4" borderId="0" xfId="0" applyNumberFormat="1" applyFont="1" applyFill="1" applyBorder="1"/>
    <x:xf numFmtId="200" fontId="3" fillId="5" borderId="0" xfId="0" applyNumberFormat="1" applyFont="1" applyFill="1" applyBorder="1"/>
    <x:xf numFmtId="200" fontId="7" fillId="5" borderId="0" xfId="0" applyNumberFormat="1" applyFont="1" applyFill="1" applyBorder="1"/>
    <x:xf numFmtId="200" fontId="7" fillId="5" borderId="5" xfId="0" applyNumberFormat="1" applyFont="1" applyFill="1" applyBorder="1"/>
    <x:xf numFmtId="200" fontId="7" fillId="5" borderId="5" xfId="0" applyNumberFormat="1" applyFont="1" applyFill="1" applyBorder="1" applyAlignment="1">
      <x:alignment horizontal="center"/>
    </x:xf>
    <x:xf numFmtId="200" fontId="7" fillId="5" borderId="5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8" fillId="0" borderId="0" xfId="0" applyNumberFormat="1" applyFont="1" applyFill="1" applyBorder="1"/>
    <x:xf numFmtId="203" fontId="5" fillId="0" borderId="0" xfId="0" applyNumberFormat="1" applyFont="1" applyFill="1" applyBorder="1"/>
    <x:xf numFmtId="0" fontId="3" fillId="0" borderId="0" xfId="0" applyNumberFormat="1" applyFont="1" applyFill="1" applyBorder="1"/>
    <x:xf numFmtId="0" fontId="6" fillId="0" borderId="0" xfId="0" applyNumberFormat="1" applyFont="1" applyFill="1" applyBorder="1"/>
    <x:xf numFmtId="0" fontId="9" fillId="0" borderId="0" xfId="0" applyNumberFormat="1" applyFont="1" applyFill="1" applyBorder="1"/>
    <x:xf numFmtId="0" fontId="3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203" fontId="3" fillId="0" borderId="0" xfId="0" applyNumberFormat="1" applyFont="1" applyFill="1" applyBorder="1"/>
    <x:xf numFmtId="203" fontId="3" fillId="0" borderId="0" xfId="0" applyNumberFormat="1" applyFont="1" applyFill="1" applyBorder="1" applyAlignment="1">
      <x:alignment horizontal="right"/>
    </x:xf>
    <x:xf numFmtId="204" fontId="3" fillId="0" borderId="0" xfId="0" applyNumberFormat="1" applyFont="1" applyFill="1" applyBorder="1"/>
    <x:xf numFmtId="204" fontId="3" fillId="0" borderId="0" xfId="0" applyNumberFormat="1" applyFont="1" applyFill="1" applyBorder="1" applyAlignment="1">
      <x:alignment horizontal="left"/>
    </x:xf>
    <x:xf numFmtId="205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7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horizontal="right" vertical="center"/>
    </x:xf>
    <x:xf numFmtId="206" fontId="3" fillId="0" borderId="0" xfId="0" applyNumberFormat="1" applyFont="1" applyFill="1" applyBorder="1" applyAlignment="1">
      <x:alignment horizontal="right" vertical="center"/>
    </x:xf>
    <x:xf numFmtId="207" fontId="3" fillId="0" borderId="0" xfId="0" applyNumberFormat="1" applyFont="1" applyFill="1" applyBorder="1" applyAlignment="1">
      <x:alignment horizontal="right" vertical="center"/>
    </x:xf>
    <x:xf numFmtId="206" fontId="3" fillId="0" borderId="0" xfId="0" applyNumberFormat="1" applyFont="1" applyFill="1" applyBorder="1"/>
    <x:xf numFmtId="206" fontId="3" fillId="0" borderId="0" xfId="0" applyNumberFormat="1" applyFont="1" applyFill="1" applyBorder="1" applyAlignment="1">
      <x:alignment horizontal="right"/>
    </x:xf>
    <x:xf numFmtId="0" fontId="2" fillId="7" borderId="1" xfId="0" applyNumberFormat="1" applyFont="1" applyFill="1" applyBorder="1" applyAlignment="1">
      <x:alignment horizontal="center" vertical="center" wrapText="0"/>
    </x:xf>
    <x:xf numFmtId="0" fontId="2" fillId="7" borderId="2" xfId="0" applyNumberFormat="1" applyFont="1" applyFill="1" applyBorder="1" applyAlignment="1">
      <x:alignment horizontal="center" vertical="center" wrapText="0"/>
    </x:xf>
    <x:xf numFmtId="0" fontId="2" fillId="7" borderId="3" xfId="0" applyNumberFormat="1" applyFont="1" applyFill="1" applyBorder="1" applyAlignment="1">
      <x:alignment horizontal="center" vertical="center" wrapText="0"/>
    </x:xf>
    <x:xf numFmtId="0" fontId="3" fillId="7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horizontal="center" vertical="center"/>
    </x:xf>
    <x:xf numFmtId="0" fontId="2" fillId="7" borderId="2" xfId="0" applyNumberFormat="1" applyFont="1" applyFill="1" applyBorder="1" applyAlignment="1">
      <x:alignment horizontal="center" vertical="center"/>
    </x:xf>
    <x:xf numFmtId="0" fontId="2" fillId="7" borderId="3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207" fontId="3" fillId="0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6" fillId="8" borderId="0" xfId="0" applyNumberFormat="1" applyFont="1" applyFill="1" applyBorder="1"/>
    <x:xf numFmtId="0" fontId="5" fillId="8" borderId="0" xfId="0" applyNumberFormat="1" applyFont="1" applyFill="1" applyBorder="1"/>
    <x:xf numFmtId="0" fontId="3" fillId="9" borderId="0" xfId="0" applyNumberFormat="1" applyFont="1" applyFill="1" applyBorder="1"/>
    <x:xf numFmtId="200" fontId="2" fillId="7" borderId="0" xfId="0" applyNumberFormat="1" applyFont="1" applyFill="1" applyBorder="1"/>
    <x:xf numFmtId="200" fontId="2" fillId="7" borderId="0" xfId="0" applyNumberFormat="1" applyFont="1" applyFill="1" applyBorder="1" applyAlignment="1">
      <x:alignment horizontal="center"/>
    </x:xf>
    <x:xf numFmtId="208" fontId="3" fillId="9" borderId="0" xfId="0" applyNumberFormat="1" applyFont="1" applyFill="1" applyBorder="1"/>
    <x:xf numFmtId="208" fontId="10" fillId="9" borderId="0" xfId="0" applyNumberFormat="1" applyFont="1" applyFill="1" applyBorder="1"/>
    <x:xf numFmtId="208" fontId="10" fillId="9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10">
    <x:dxf>
      <x:font>
        <x:color rgb="FF216A55"/>
      </x:font>
      <x:fill>
        <x:patternFill>
          <x:bgColor rgb="FFEDF6F2"/>
        </x:patternFill>
      </x:fill>
    </x:dxf>
    <x:dxf>
      <x:font>
        <x:color rgb="FF9C3E30"/>
      </x:font>
      <x:fill>
        <x:patternFill>
          <x:bgColor rgb="FFFCEFEB"/>
        </x:patternFill>
      </x:fill>
    </x:dxf>
    <x:dxf>
      <x:font>
        <x:color rgb="FF216A55"/>
      </x:font>
      <x:fill>
        <x:patternFill>
          <x:bgColor rgb="FFEDF6F2"/>
        </x:patternFill>
      </x:fill>
    </x:dxf>
    <x:dxf>
      <x:font>
        <x:color rgb="FF9C3E30"/>
      </x:font>
      <x:fill>
        <x:patternFill>
          <x:bgColor rgb="FFFCEFEB"/>
        </x:patternFill>
      </x:fill>
    </x:dxf>
    <x:dxf>
      <x:font>
        <x:color rgb="FF216A55"/>
      </x:font>
      <x:fill>
        <x:patternFill>
          <x:bgColor rgb="FFEDF6F2"/>
        </x:patternFill>
      </x:fill>
    </x:dxf>
    <x:dxf>
      <x:font>
        <x:color rgb="FF9C3E30"/>
      </x:font>
      <x:fill>
        <x:patternFill>
          <x:bgColor rgb="FFFCEFEB"/>
        </x:patternFill>
      </x:fill>
    </x:dxf>
    <x:dxf>
      <x:font>
        <x:color rgb="FF216A55"/>
      </x:font>
      <x:fill>
        <x:patternFill patternType="solid">
          <x:bgColor rgb="FFEDF6F2"/>
        </x:patternFill>
      </x:fill>
    </x:dxf>
    <x:dxf>
      <x:font>
        <x:color rgb="FF9C3E30"/>
      </x:font>
      <x:fill>
        <x:patternFill patternType="solid">
          <x:bgColor rgb="FFFCEFEB"/>
        </x:patternFill>
      </x:fill>
    </x:dxf>
    <x:dxf>
      <x:font>
        <x:color rgb="FF216A55"/>
      </x:font>
      <x:fill>
        <x:patternFill patternType="solid">
          <x:bgColor rgb="FFEDF6F2"/>
        </x:patternFill>
      </x:fill>
    </x:dxf>
    <x:dxf>
      <x:font>
        <x:color rgb="FF9C3E30"/>
      </x:font>
      <x:fill>
        <x:patternFill patternType="solid">
          <x:bgColor rgb="FFFCEF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845b902a6c4c87" /><Relationship Type="http://schemas.openxmlformats.org/officeDocument/2006/relationships/theme" Target="/xl/theme/theme1.xml" Id="Ra3de8466e3574f4e" /><Relationship Type="http://schemas.openxmlformats.org/officeDocument/2006/relationships/sharedStrings" Target="/xl/sharedStrings.xml" Id="R7b816aa491f54bea" /><Relationship Type="http://schemas.openxmlformats.org/officeDocument/2006/relationships/worksheet" Target="/xl/worksheets/sheet1.xml" Id="Rfe6806cab28841a2" /><Relationship Type="http://schemas.openxmlformats.org/officeDocument/2006/relationships/worksheet" Target="/xl/worksheets/sheet2.xml" Id="R73c4ff4fdfd746df" /><Relationship Type="http://schemas.openxmlformats.org/officeDocument/2006/relationships/worksheet" Target="/xl/worksheets/sheet3.xml" Id="Rf61f1a761b79446f" /><Relationship Type="http://schemas.openxmlformats.org/officeDocument/2006/relationships/worksheet" Target="/xl/worksheets/sheet4.xml" Id="R12b0b0cc07cd438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e307a22e07e4c29" /><Relationship Type="http://schemas.openxmlformats.org/officeDocument/2006/relationships/chart" Target="/xl/drawings/charts/chart2.xml" Id="R7627990e7ab749e3" /><Relationship Type="http://schemas.openxmlformats.org/officeDocument/2006/relationships/chart" Target="/xl/drawings/charts/chart3.xml" Id="R8c0cb49c922240b9" /><Relationship Type="http://schemas.openxmlformats.org/officeDocument/2006/relationships/chart" Target="/xl/drawings/charts/chart4.xml" Id="R39f5876ca06d4ffa" /><Relationship Type="http://schemas.openxmlformats.org/officeDocument/2006/relationships/chart" Target="/xl/drawings/charts/chart5.xml" Id="Rae596db7525945ca" /><Relationship Type="http://schemas.openxmlformats.org/officeDocument/2006/relationships/chart" Target="/xl/drawings/charts/chart6.xml" Id="R02289db024a342dc" /><Relationship Type="http://schemas.openxmlformats.org/officeDocument/2006/relationships/chart" Target="/xl/drawings/charts/chart7.xml" Id="R2461731eec034cf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75" b="1">
                <a:latin typeface="Arial"/>
                <a:ea typeface="Arial"/>
                <a:cs typeface="Arial"/>
              </a:rPr>
              <a:t>Annual exports and imports, 1920–1938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75" b="1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Exports</c:v>
          </c:tx>
          <c:spPr>
            <a:solidFill xmlns:a="http://schemas.openxmlformats.org/drawingml/2006/main">
              <a:srgbClr val="21618C"/>
            </a:solidFill>
            <a:ln xmlns:a="http://schemas.openxmlformats.org/drawingml/2006/main" w="19050">
              <a:solidFill>
                <a:srgbClr val="21618C"/>
              </a:solidFill>
              <a:prstDash val="solid"/>
            </a:ln>
          </c:spPr>
          <c:marker>
            <c:symbol val="none"/>
          </c:marker>
          <c:cat>
            <c:strRef>
              <c:f>'Charts'!$AA$6:$AA$24</c:f>
              <c:strCache>
                <c:ptCount val="0"/>
              </c:strCache>
            </c:strRef>
          </c:cat>
          <c:val>
            <c:numRef>
              <c:f>'Charts'!$AB$6:$AB$24</c:f>
              <c:numCache>
                <c:formatCode>#,##0.000;-#,##0.000;0.000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Imports</c:v>
          </c:tx>
          <c:spPr>
            <a:solidFill xmlns:a="http://schemas.openxmlformats.org/drawingml/2006/main">
              <a:srgbClr val="D18B36"/>
            </a:solidFill>
            <a:ln xmlns:a="http://schemas.openxmlformats.org/drawingml/2006/main" w="19050">
              <a:solidFill>
                <a:srgbClr val="D18B36"/>
              </a:solidFill>
              <a:prstDash val="solid"/>
            </a:ln>
          </c:spPr>
          <c:marker>
            <c:symbol val="none"/>
          </c:marker>
          <c:cat>
            <c:strRef>
              <c:f>'Charts'!$AA$6:$AA$24</c:f>
              <c:strCache>
                <c:ptCount val="0"/>
              </c:strCache>
            </c:strRef>
          </c:cat>
          <c:val>
            <c:numRef>
              <c:f>'Charts'!$AC$6:$AC$24</c:f>
              <c:numCache>
                <c:formatCode>#,##0.000;-#,##0.000;0.000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low"/>
        <c:tickLblSkip val="2"/>
        <c:spPr>
          <a:ln xmlns:a="http://schemas.openxmlformats.org/drawingml/2006/main" w="9525">
            <a:solidFill>
              <a:srgbClr val="899EAD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5715">
              <a:solidFill>
                <a:srgbClr val="DEE6EC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>
                    <a:latin typeface="Arial"/>
                    <a:ea typeface="Arial"/>
                    <a:cs typeface="Arial"/>
                  </a:rPr>
                  <a:t>Million Kč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>
                  <a:latin typeface="Arial"/>
                  <a:ea typeface="Arial"/>
                  <a:cs typeface="Arial"/>
                </a:defRPr>
              </a:pPr>
            </a:p>
          </c:txPr>
        </c:title>
        <c:numFmt formatCode="#,##0;-#,##0;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75" b="1">
                <a:latin typeface="Arial"/>
                <a:ea typeface="Arial"/>
                <a:cs typeface="Arial"/>
              </a:rPr>
              <a:t>Annual trade balance, 1920–1938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75" b="1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stacked"/>
        <c:varyColors val="0"/>
        <c:ser>
          <c:idx val="0"/>
          <c:order val="0"/>
          <c:tx>
            <c:v>Surplus</c:v>
          </c:tx>
          <c:spPr>
            <a:solidFill xmlns:a="http://schemas.openxmlformats.org/drawingml/2006/main">
              <a:srgbClr val="23866D"/>
            </a:solidFill>
            <a:ln xmlns:a="http://schemas.openxmlformats.org/drawingml/2006/main" w="19050">
              <a:solidFill>
                <a:srgbClr val="23866D"/>
              </a:solidFill>
              <a:prstDash val="solid"/>
            </a:ln>
          </c:spPr>
          <c:invertIfNegative val="0"/>
          <c:cat>
            <c:strRef>
              <c:f>'Charts'!$AA$6:$AA$24</c:f>
              <c:strCache>
                <c:ptCount val="0"/>
              </c:strCache>
            </c:strRef>
          </c:cat>
          <c:val>
            <c:numRef>
              <c:f>'Charts'!$AE$6:$AE$24</c:f>
              <c:numCache>
                <c:formatCode>#,##0.000;-#,##0.000;0.000</c:formatCode>
                <c:ptCount val="0"/>
              </c:numCache>
            </c:numRef>
          </c:val>
        </c:ser>
        <c:ser>
          <c:idx val="1"/>
          <c:order val="1"/>
          <c:tx>
            <c:v>Deficit</c:v>
          </c:tx>
          <c:spPr>
            <a:solidFill xmlns:a="http://schemas.openxmlformats.org/drawingml/2006/main">
              <a:srgbClr val="BD5A45"/>
            </a:solidFill>
            <a:ln xmlns:a="http://schemas.openxmlformats.org/drawingml/2006/main" w="19050">
              <a:solidFill>
                <a:srgbClr val="BD5A45"/>
              </a:solidFill>
              <a:prstDash val="solid"/>
            </a:ln>
          </c:spPr>
          <c:invertIfNegative val="0"/>
          <c:cat>
            <c:strRef>
              <c:f>'Charts'!$AA$6:$AA$24</c:f>
              <c:strCache>
                <c:ptCount val="0"/>
              </c:strCache>
            </c:strRef>
          </c:cat>
          <c:val>
            <c:numRef>
              <c:f>'Charts'!$AF$6:$AF$24</c:f>
              <c:numCache>
                <c:formatCode>#,##0.000;-#,##0.000;0.000</c:formatCode>
                <c:ptCount val="0"/>
              </c:numCache>
            </c:numRef>
          </c:val>
        </c:ser>
        <c:gapWidth val="7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low"/>
        <c:tickLblSkip val="2"/>
        <c:spPr>
          <a:ln xmlns:a="http://schemas.openxmlformats.org/drawingml/2006/main" w="9525">
            <a:solidFill>
              <a:srgbClr val="899EAD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5715">
              <a:solidFill>
                <a:srgbClr val="DEE6EC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>
                    <a:latin typeface="Arial"/>
                    <a:ea typeface="Arial"/>
                    <a:cs typeface="Arial"/>
                  </a:rPr>
                  <a:t>Million Kč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>
                  <a:latin typeface="Arial"/>
                  <a:ea typeface="Arial"/>
                  <a:cs typeface="Arial"/>
                </a:defRPr>
              </a:pPr>
            </a:p>
          </c:txPr>
        </c:title>
        <c:numFmt formatCode="#,##0;-#,##0;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75" b="1">
                <a:latin typeface="Arial"/>
                <a:ea typeface="Arial"/>
                <a:cs typeface="Arial"/>
              </a:rPr>
              <a:t>Monthly exports and imports, 1924–1938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75" b="1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Exports</c:v>
          </c:tx>
          <c:spPr>
            <a:solidFill xmlns:a="http://schemas.openxmlformats.org/drawingml/2006/main">
              <a:srgbClr val="21618C"/>
            </a:solidFill>
            <a:ln xmlns:a="http://schemas.openxmlformats.org/drawingml/2006/main" w="19050">
              <a:solidFill>
                <a:srgbClr val="21618C"/>
              </a:solidFill>
              <a:prstDash val="solid"/>
            </a:ln>
          </c:spPr>
          <c:marker>
            <c:symbol val="none"/>
          </c:marker>
          <c:cat>
            <c:strRef>
              <c:f>'Charts'!$AA$30:$AA$209</c:f>
              <c:strCache>
                <c:ptCount val="0"/>
              </c:strCache>
            </c:strRef>
          </c:cat>
          <c:val>
            <c:numRef>
              <c:f>'Charts'!$AB$30:$AB$209</c:f>
              <c:numCache>
                <c:formatCode>#,##0.000;-#,##0.000;0.000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Imports</c:v>
          </c:tx>
          <c:spPr>
            <a:solidFill xmlns:a="http://schemas.openxmlformats.org/drawingml/2006/main">
              <a:srgbClr val="D18B36"/>
            </a:solidFill>
            <a:ln xmlns:a="http://schemas.openxmlformats.org/drawingml/2006/main" w="19050">
              <a:solidFill>
                <a:srgbClr val="D18B36"/>
              </a:solidFill>
              <a:prstDash val="solid"/>
            </a:ln>
          </c:spPr>
          <c:marker>
            <c:symbol val="none"/>
          </c:marker>
          <c:cat>
            <c:strRef>
              <c:f>'Charts'!$AA$30:$AA$209</c:f>
              <c:strCache>
                <c:ptCount val="0"/>
              </c:strCache>
            </c:strRef>
          </c:cat>
          <c:val>
            <c:numRef>
              <c:f>'Charts'!$AC$30:$AC$209</c:f>
              <c:numCache>
                <c:formatCode>#,##0.000;-#,##0.000;0.000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low"/>
        <c:tickLblSkip val="24"/>
        <c:spPr>
          <a:ln xmlns:a="http://schemas.openxmlformats.org/drawingml/2006/main" w="9525">
            <a:solidFill>
              <a:srgbClr val="899EAD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5715">
              <a:solidFill>
                <a:srgbClr val="DEE6EC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>
                    <a:latin typeface="Arial"/>
                    <a:ea typeface="Arial"/>
                    <a:cs typeface="Arial"/>
                  </a:rPr>
                  <a:t>Million Kč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>
                  <a:latin typeface="Arial"/>
                  <a:ea typeface="Arial"/>
                  <a:cs typeface="Arial"/>
                </a:defRPr>
              </a:pPr>
            </a:p>
          </c:txPr>
        </c:title>
        <c:numFmt formatCode="#,##0;-#,##0;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75" b="1">
                <a:latin typeface="Arial"/>
                <a:ea typeface="Arial"/>
                <a:cs typeface="Arial"/>
              </a:rPr>
              <a:t>Monthly trade balance, 1924–1938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75" b="1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stacked"/>
        <c:varyColors val="0"/>
        <c:ser>
          <c:idx val="0"/>
          <c:order val="0"/>
          <c:tx>
            <c:v>Surplus</c:v>
          </c:tx>
          <c:spPr>
            <a:solidFill xmlns:a="http://schemas.openxmlformats.org/drawingml/2006/main">
              <a:srgbClr val="23866D"/>
            </a:solidFill>
            <a:ln xmlns:a="http://schemas.openxmlformats.org/drawingml/2006/main" w="19050">
              <a:solidFill>
                <a:srgbClr val="23866D"/>
              </a:solidFill>
              <a:prstDash val="solid"/>
            </a:ln>
          </c:spPr>
          <c:invertIfNegative val="0"/>
          <c:cat>
            <c:strRef>
              <c:f>'Charts'!$AA$30:$AA$209</c:f>
              <c:strCache>
                <c:ptCount val="0"/>
              </c:strCache>
            </c:strRef>
          </c:cat>
          <c:val>
            <c:numRef>
              <c:f>'Charts'!$AE$30:$AE$209</c:f>
              <c:numCache>
                <c:formatCode>#,##0.000;-#,##0.000;0.000</c:formatCode>
                <c:ptCount val="0"/>
              </c:numCache>
            </c:numRef>
          </c:val>
        </c:ser>
        <c:ser>
          <c:idx val="1"/>
          <c:order val="1"/>
          <c:tx>
            <c:v>Deficit</c:v>
          </c:tx>
          <c:spPr>
            <a:solidFill xmlns:a="http://schemas.openxmlformats.org/drawingml/2006/main">
              <a:srgbClr val="BD5A45"/>
            </a:solidFill>
            <a:ln xmlns:a="http://schemas.openxmlformats.org/drawingml/2006/main" w="19050">
              <a:solidFill>
                <a:srgbClr val="BD5A45"/>
              </a:solidFill>
              <a:prstDash val="solid"/>
            </a:ln>
          </c:spPr>
          <c:invertIfNegative val="0"/>
          <c:cat>
            <c:strRef>
              <c:f>'Charts'!$AA$30:$AA$209</c:f>
              <c:strCache>
                <c:ptCount val="0"/>
              </c:strCache>
            </c:strRef>
          </c:cat>
          <c:val>
            <c:numRef>
              <c:f>'Charts'!$AF$30:$AF$209</c:f>
              <c:numCache>
                <c:formatCode>#,##0.000;-#,##0.000;0.000</c:formatCode>
                <c:ptCount val="0"/>
              </c:numCache>
            </c:numRef>
          </c:val>
        </c:ser>
        <c:gapWidth val="3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low"/>
        <c:tickLblSkip val="24"/>
        <c:spPr>
          <a:ln xmlns:a="http://schemas.openxmlformats.org/drawingml/2006/main" w="9525">
            <a:solidFill>
              <a:srgbClr val="899EAD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5715">
              <a:solidFill>
                <a:srgbClr val="DEE6EC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>
                    <a:latin typeface="Arial"/>
                    <a:ea typeface="Arial"/>
                    <a:cs typeface="Arial"/>
                  </a:rPr>
                  <a:t>Million Kč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>
                  <a:latin typeface="Arial"/>
                  <a:ea typeface="Arial"/>
                  <a:cs typeface="Arial"/>
                </a:defRPr>
              </a:pPr>
            </a:p>
          </c:txPr>
        </c:title>
        <c:numFmt formatCode="#,##0;-#,##0;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75" b="1">
                <a:latin typeface="Arial"/>
                <a:ea typeface="Arial"/>
                <a:cs typeface="Arial"/>
              </a:rPr>
              <a:t>Trade balances by partner (selected year)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75" b="1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grouping val="stacked"/>
        <c:varyColors val="0"/>
        <c:ser>
          <c:idx val="0"/>
          <c:order val="0"/>
          <c:tx>
            <c:v>Surplus</c:v>
          </c:tx>
          <c:spPr>
            <a:solidFill xmlns:a="http://schemas.openxmlformats.org/drawingml/2006/main">
              <a:srgbClr val="23866D"/>
            </a:solidFill>
            <a:ln xmlns:a="http://schemas.openxmlformats.org/drawingml/2006/main" w="19050">
              <a:solidFill>
                <a:srgbClr val="23866D"/>
              </a:solidFill>
              <a:prstDash val="solid"/>
            </a:ln>
          </c:spPr>
          <c:invertIfNegative val="0"/>
          <c:cat>
            <c:strRef>
              <c:f>'Charts'!$AA$214:$AA$228</c:f>
              <c:strCache>
                <c:ptCount val="0"/>
              </c:strCache>
            </c:strRef>
          </c:cat>
          <c:val>
            <c:numRef>
              <c:f>'Charts'!$AC$214:$AC$228</c:f>
              <c:numCache>
                <c:formatCode>#,##0.000;-#,##0.000;0.000</c:formatCode>
                <c:ptCount val="0"/>
              </c:numCache>
            </c:numRef>
          </c:val>
        </c:ser>
        <c:ser>
          <c:idx val="1"/>
          <c:order val="1"/>
          <c:tx>
            <c:v>Deficit</c:v>
          </c:tx>
          <c:spPr>
            <a:solidFill xmlns:a="http://schemas.openxmlformats.org/drawingml/2006/main">
              <a:srgbClr val="BD5A45"/>
            </a:solidFill>
            <a:ln xmlns:a="http://schemas.openxmlformats.org/drawingml/2006/main" w="19050">
              <a:solidFill>
                <a:srgbClr val="BD5A45"/>
              </a:solidFill>
              <a:prstDash val="solid"/>
            </a:ln>
          </c:spPr>
          <c:invertIfNegative val="0"/>
          <c:cat>
            <c:strRef>
              <c:f>'Charts'!$AA$214:$AA$228</c:f>
              <c:strCache>
                <c:ptCount val="0"/>
              </c:strCache>
            </c:strRef>
          </c:cat>
          <c:val>
            <c:numRef>
              <c:f>'Charts'!$AD$214:$AD$228</c:f>
              <c:numCache>
                <c:formatCode>#,##0.000;-#,##0.000;0.000</c:formatCode>
                <c:ptCount val="0"/>
              </c:numCache>
            </c:numRef>
          </c:val>
        </c:ser>
        <c:gapWidth val="60"/>
        <c:overlap val="100"/>
        <c:axId val="48650112"/>
        <c:axId val="48672768"/>
      </c:barChart>
      <c:catAx>
        <c:axId val="48650112"/>
        <c:scaling>
          <c:orientation val="maxMin"/>
        </c:scaling>
        <c:delete val="0"/>
        <c:axPos val="l"/>
        <c:numFmt formatCode="General"/>
        <c:majorTickMark val="none"/>
        <c:minorTickMark val="none"/>
        <c:tickLblPos val="low"/>
        <c:tickLblSkip val="1"/>
        <c:spPr>
          <a:ln xmlns:a="http://schemas.openxmlformats.org/drawingml/2006/main" w="9525">
            <a:solidFill>
              <a:srgbClr val="899EAD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5715">
              <a:solidFill>
                <a:srgbClr val="DEE6EC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>
                    <a:latin typeface="Arial"/>
                    <a:ea typeface="Arial"/>
                    <a:cs typeface="Arial"/>
                  </a:rPr>
                  <a:t>Million Kč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>
                  <a:latin typeface="Arial"/>
                  <a:ea typeface="Arial"/>
                  <a:cs typeface="Arial"/>
                </a:defRPr>
              </a:pPr>
            </a:p>
          </c:txPr>
        </c:title>
        <c:numFmt formatCode="#,##0;-#,##0;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75" b="1">
                <a:latin typeface="Arial"/>
                <a:ea typeface="Arial"/>
                <a:cs typeface="Arial"/>
              </a:rPr>
              <a:t>Annual nominal trade indices, 1920–1938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75" b="1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Exports</c:v>
          </c:tx>
          <c:spPr>
            <a:solidFill xmlns:a="http://schemas.openxmlformats.org/drawingml/2006/main">
              <a:srgbClr val="21618C"/>
            </a:solidFill>
            <a:ln xmlns:a="http://schemas.openxmlformats.org/drawingml/2006/main" w="19050">
              <a:solidFill>
                <a:srgbClr val="21618C"/>
              </a:solidFill>
              <a:prstDash val="solid"/>
            </a:ln>
          </c:spPr>
          <c:marker>
            <c:symbol val="none"/>
          </c:marker>
          <c:cat>
            <c:strRef>
              <c:f>'Charts'!$AI$13:$AI$31</c:f>
              <c:strCache>
                <c:ptCount val="0"/>
              </c:strCache>
            </c:strRef>
          </c:cat>
          <c:val>
            <c:numRef>
              <c:f>'Charts'!$AJ$13:$AJ$31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Imports</c:v>
          </c:tx>
          <c:spPr>
            <a:solidFill xmlns:a="http://schemas.openxmlformats.org/drawingml/2006/main">
              <a:srgbClr val="D18B36"/>
            </a:solidFill>
            <a:ln xmlns:a="http://schemas.openxmlformats.org/drawingml/2006/main" w="19050">
              <a:solidFill>
                <a:srgbClr val="D18B36"/>
              </a:solidFill>
              <a:prstDash val="solid"/>
            </a:ln>
          </c:spPr>
          <c:marker>
            <c:symbol val="none"/>
          </c:marker>
          <c:cat>
            <c:strRef>
              <c:f>'Charts'!$AI$13:$AI$31</c:f>
              <c:strCache>
                <c:ptCount val="0"/>
              </c:strCache>
            </c:strRef>
          </c:cat>
          <c:val>
            <c:numRef>
              <c:f>'Charts'!$AK$13:$AK$31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low"/>
        <c:tickLblSkip val="2"/>
        <c:spPr>
          <a:ln xmlns:a="http://schemas.openxmlformats.org/drawingml/2006/main" w="9525">
            <a:solidFill>
              <a:srgbClr val="899EAD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5715">
              <a:solidFill>
                <a:srgbClr val="DEE6EC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>
                    <a:latin typeface="Arial"/>
                    <a:ea typeface="Arial"/>
                    <a:cs typeface="Arial"/>
                  </a:rPr>
                  <a:t>Index (1929 = 100)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>
                  <a:latin typeface="Arial"/>
                  <a:ea typeface="Arial"/>
                  <a:cs typeface="Arial"/>
                </a:defRPr>
              </a:pPr>
            </a:p>
          </c:txPr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75" b="1">
                <a:latin typeface="Arial"/>
                <a:ea typeface="Arial"/>
                <a:cs typeface="Arial"/>
              </a:rPr>
              <a:t>Monthly nominal trade indices, 1924–1938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75" b="1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Exports</c:v>
          </c:tx>
          <c:spPr>
            <a:solidFill xmlns:a="http://schemas.openxmlformats.org/drawingml/2006/main">
              <a:srgbClr val="21618C"/>
            </a:solidFill>
            <a:ln xmlns:a="http://schemas.openxmlformats.org/drawingml/2006/main" w="19050">
              <a:solidFill>
                <a:srgbClr val="21618C"/>
              </a:solidFill>
              <a:prstDash val="solid"/>
            </a:ln>
          </c:spPr>
          <c:marker>
            <c:symbol val="none"/>
          </c:marker>
          <c:cat>
            <c:strRef>
              <c:f>'Charts'!$AI$37:$AI$216</c:f>
              <c:strCache>
                <c:ptCount val="0"/>
              </c:strCache>
            </c:strRef>
          </c:cat>
          <c:val>
            <c:numRef>
              <c:f>'Charts'!$AJ$37:$AJ$216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Imports</c:v>
          </c:tx>
          <c:spPr>
            <a:solidFill xmlns:a="http://schemas.openxmlformats.org/drawingml/2006/main">
              <a:srgbClr val="D18B36"/>
            </a:solidFill>
            <a:ln xmlns:a="http://schemas.openxmlformats.org/drawingml/2006/main" w="19050">
              <a:solidFill>
                <a:srgbClr val="D18B36"/>
              </a:solidFill>
              <a:prstDash val="solid"/>
            </a:ln>
          </c:spPr>
          <c:marker>
            <c:symbol val="none"/>
          </c:marker>
          <c:cat>
            <c:strRef>
              <c:f>'Charts'!$AI$37:$AI$216</c:f>
              <c:strCache>
                <c:ptCount val="0"/>
              </c:strCache>
            </c:strRef>
          </c:cat>
          <c:val>
            <c:numRef>
              <c:f>'Charts'!$AK$37:$AK$216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low"/>
        <c:tickLblSkip val="24"/>
        <c:spPr>
          <a:ln xmlns:a="http://schemas.openxmlformats.org/drawingml/2006/main" w="9525">
            <a:solidFill>
              <a:srgbClr val="899EAD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5715">
              <a:solidFill>
                <a:srgbClr val="DEE6EC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>
                    <a:latin typeface="Arial"/>
                    <a:ea typeface="Arial"/>
                    <a:cs typeface="Arial"/>
                  </a:rPr>
                  <a:t>Index (1929 = 100)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00">
                  <a:latin typeface="Arial"/>
                  <a:ea typeface="Arial"/>
                  <a:cs typeface="Arial"/>
                </a:defRPr>
              </a:pPr>
            </a:p>
          </c:txPr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5</xdr:row>
      <xdr:rowOff>0</xdr:rowOff>
    </xdr:from>
    <xdr:to>
      <xdr:col>11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307a22e07e4c29"/>
        </a:graphicData>
      </a:graphic>
    </xdr:graphicFrame>
    <xdr:clientData/>
  </xdr:twoCellAnchor>
  <xdr:twoCellAnchor>
    <xdr:from>
      <xdr:col>12</xdr:col>
      <xdr:colOff>0</xdr:colOff>
      <xdr:row>5</xdr:row>
      <xdr:rowOff>0</xdr:rowOff>
    </xdr:from>
    <xdr:to>
      <xdr:col>22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27990e7ab749e3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11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0cb49c922240b9"/>
        </a:graphicData>
      </a:graphic>
    </xdr:graphicFrame>
    <xdr:clientData/>
  </xdr:twoCellAnchor>
  <xdr:twoCellAnchor>
    <xdr:from>
      <xdr:col>12</xdr:col>
      <xdr:colOff>0</xdr:colOff>
      <xdr:row>26</xdr:row>
      <xdr:rowOff>0</xdr:rowOff>
    </xdr:from>
    <xdr:to>
      <xdr:col>22</xdr:col>
      <xdr:colOff>0</xdr:colOff>
      <xdr:row>45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f5876ca06d4ffa"/>
        </a:graphicData>
      </a:graphic>
    </xdr:graphicFrame>
    <xdr:clientData/>
  </xdr:twoCellAnchor>
  <xdr:twoCellAnchor>
    <xdr:from>
      <xdr:col>1</xdr:col>
      <xdr:colOff>0</xdr:colOff>
      <xdr:row>50</xdr:row>
      <xdr:rowOff>0</xdr:rowOff>
    </xdr:from>
    <xdr:to>
      <xdr:col>22</xdr:col>
      <xdr:colOff>0</xdr:colOff>
      <xdr:row>79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596db7525945ca"/>
        </a:graphicData>
      </a:graphic>
    </xdr:graphicFrame>
    <xdr:clientData/>
  </xdr:twoCellAnchor>
  <xdr:twoCellAnchor>
    <xdr:from>
      <xdr:col>1</xdr:col>
      <xdr:colOff>0</xdr:colOff>
      <xdr:row>86</xdr:row>
      <xdr:rowOff>0</xdr:rowOff>
    </xdr:from>
    <xdr:to>
      <xdr:col>11</xdr:col>
      <xdr:colOff>0</xdr:colOff>
      <xdr:row>105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289db024a342dc"/>
        </a:graphicData>
      </a:graphic>
    </xdr:graphicFrame>
    <xdr:clientData/>
  </xdr:twoCellAnchor>
  <xdr:twoCellAnchor>
    <xdr:from>
      <xdr:col>12</xdr:col>
      <xdr:colOff>0</xdr:colOff>
      <xdr:row>86</xdr:row>
      <xdr:rowOff>0</xdr:rowOff>
    </xdr:from>
    <xdr:to>
      <xdr:col>22</xdr:col>
      <xdr:colOff>0</xdr:colOff>
      <xdr:row>105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61731eec034cf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7" name="T_Annualtotals" displayName="T_Annualtotals" ref="A1:J20" headerRowCount="1" totalsRowCount="0" totalsRowShown="0">
  <x:autoFilter ref="A1:J20"/>
  <x:tableColumns count="10">
    <x:tableColumn id="1" name="year"/>
    <x:tableColumn id="2" name="exports_million_kc"/>
    <x:tableColumn id="3" name="imports_million_kc"/>
    <x:tableColumn id="4" name="trade_balance_million_kc"/>
    <x:tableColumn id="5" name="total_trade_million_kc"/>
    <x:tableColumn id="6" name="export_import_ratio_pct"/>
    <x:tableColumn id="7" name="exports_yoy_pct"/>
    <x:tableColumn id="8" name="imports_yoy_pct"/>
    <x:tableColumn id="9" name="exports_index_1929_100"/>
    <x:tableColumn id="10" name="imports_index_1929_100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8" name="T_Annualpartners" displayName="T_Annualpartners" ref="A1:G286" headerRowCount="1" totalsRowCount="0" totalsRowShown="0">
  <x:autoFilter ref="A1:G286"/>
  <x:tableColumns count="7">
    <x:tableColumn id="1" name="year"/>
    <x:tableColumn id="2" name="partner"/>
    <x:tableColumn id="3" name="exports_million_kc"/>
    <x:tableColumn id="4" name="imports_million_kc"/>
    <x:tableColumn id="5" name="trade_balance_million_kc"/>
    <x:tableColumn id="6" name="export_share_pct"/>
    <x:tableColumn id="7" name="import_share_pct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9" name="T_Monthlytotals" displayName="T_Monthlytotals" ref="A1:J181" headerRowCount="1" totalsRowCount="0" totalsRowShown="0">
  <x:autoFilter ref="A1:J181"/>
  <x:tableColumns count="10">
    <x:tableColumn id="1" name="date"/>
    <x:tableColumn id="2" name="exports_million_kc"/>
    <x:tableColumn id="3" name="imports_million_kc"/>
    <x:tableColumn id="4" name="trade_balance_million_kc"/>
    <x:tableColumn id="5" name="total_trade_million_kc"/>
    <x:tableColumn id="6" name="export_import_ratio_pct"/>
    <x:tableColumn id="7" name="exports_yoy_pct"/>
    <x:tableColumn id="8" name="imports_yoy_pct"/>
    <x:tableColumn id="9" name="exports_index_1929_100"/>
    <x:tableColumn id="10" name="imports_index_1929_100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c48ca28d0949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ab70fafce3240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191ae22213047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01c44ab0c0e54e0e" /></Relationships>
</file>

<file path=xl/worksheets/sheet1.xml><?xml version="1.0" encoding="utf-8"?>
<x:worksheet xmlns:x="http://schemas.openxmlformats.org/spreadsheetml/2006/main">
  <x:sheetPr>
    <x:tabColor rgb="FF233C5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25" hidden="0" customWidth="1"/>
    <x:col min="4" max="4" width="34" hidden="0" customWidth="1"/>
    <x:col min="5" max="5" width="31" hidden="0" customWidth="1"/>
    <x:col min="6" max="6" width="33" hidden="0" customWidth="1"/>
    <x:col min="7" max="7" width="24" hidden="0" customWidth="1"/>
    <x:col min="8" max="8" width="24" hidden="0" customWidth="1"/>
    <x:col min="9" max="9" width="32" hidden="0" customWidth="1"/>
    <x:col min="10" max="10" width="32" hidden="0" customWidth="1"/>
  </x:cols>
  <x:sheetData>
    <x:row r="1" ht="36" customHeight="1">
      <x:c r="A1" s="57" t="str">
        <x:v>year</x:v>
      </x:c>
      <x:c r="B1" s="58" t="str">
        <x:v>exports_million_kc</x:v>
      </x:c>
      <x:c r="C1" s="58" t="str">
        <x:v>imports_million_kc</x:v>
      </x:c>
      <x:c r="D1" s="58" t="str">
        <x:v>trade_balance_million_kc</x:v>
      </x:c>
      <x:c r="E1" s="63" t="str">
        <x:v>total_trade_million_kc</x:v>
      </x:c>
      <x:c r="F1" s="63" t="str">
        <x:v>export_import_ratio_pct</x:v>
      </x:c>
      <x:c r="G1" s="63" t="str">
        <x:v>exports_yoy_pct</x:v>
      </x:c>
      <x:c r="H1" s="63" t="str">
        <x:v>imports_yoy_pct</x:v>
      </x:c>
      <x:c r="I1" s="63" t="str">
        <x:v>exports_index_1929_100</x:v>
      </x:c>
      <x:c r="J1" s="64" t="str">
        <x:v>imports_index_1929_100</x:v>
      </x:c>
    </x:row>
    <x:row r="2" ht="23" customHeight="1">
      <x:c r="A2" s="4" t="n">
        <x:v>1920</x:v>
      </x:c>
      <x:c r="B2" s="6" t="n">
        <x:v>28514.619</x:v>
      </x:c>
      <x:c r="C2" s="6" t="n">
        <x:v>23912.315</x:v>
      </x:c>
      <x:c r="D2" s="17" t="n">
        <x:f>B2-C2</x:f>
        <x:v>4602.304</x:v>
      </x:c>
      <x:c r="E2" s="52" t="n">
        <x:f>B2+C2</x:f>
        <x:v>52426.933999999994</x:v>
      </x:c>
      <x:c r="F2" s="53" t="n">
        <x:f>100*B2/C2</x:f>
        <x:v>119.24658486641717</x:v>
      </x:c>
      <x:c r="G2" s="53"/>
      <x:c r="H2" s="53"/>
      <x:c r="I2" s="54" t="n">
        <x:f>100*B2/'Charts'!$AJ$6</x:f>
        <x:v>139.1033768741095</x:v>
      </x:c>
      <x:c r="J2" s="54" t="n">
        <x:f>100*C2/'Charts'!$AK$6</x:f>
        <x:v>119.81403515347188</x:v>
      </x:c>
    </x:row>
    <x:row r="3" ht="23" customHeight="1">
      <x:c r="A3" s="4" t="n">
        <x:v>1921</x:v>
      </x:c>
      <x:c r="B3" s="6" t="n">
        <x:v>29457.998</x:v>
      </x:c>
      <x:c r="C3" s="6" t="n">
        <x:v>23685.366</x:v>
      </x:c>
      <x:c r="D3" s="17" t="n">
        <x:f>B3-C3</x:f>
        <x:v>5772.631999999998</x:v>
      </x:c>
      <x:c r="E3" s="52" t="n">
        <x:f>B3+C3</x:f>
        <x:v>53143.364</x:v>
      </x:c>
      <x:c r="F3" s="53" t="n">
        <x:f>100*B3/C3</x:f>
        <x:v>124.37214607534456</x:v>
      </x:c>
      <x:c r="G3" s="53" t="n">
        <x:f>100*(B3/SUMIFS($B$2:$B$20,$A$2:$A$20,A3-1)-1)</x:f>
        <x:v>3.3084047168927766</x:v>
      </x:c>
      <x:c r="H3" s="53" t="n">
        <x:f>100*(C3/SUMIFS($C$2:$C$20,$A$2:$A$20,A3-1)-1)</x:f>
        <x:v>-0.9490883672283346</x:v>
      </x:c>
      <x:c r="I3" s="54" t="n">
        <x:f>100*B3/'Charts'!$AJ$6</x:f>
        <x:v>143.70547955596965</x:v>
      </x:c>
      <x:c r="J3" s="54" t="n">
        <x:f>100*C3/'Charts'!$AK$6</x:f>
        <x:v>118.6768940835234</x:v>
      </x:c>
    </x:row>
    <x:row r="4" ht="23" customHeight="1">
      <x:c r="A4" s="4" t="n">
        <x:v>1922</x:v>
      </x:c>
      <x:c r="B4" s="6" t="n">
        <x:v>19632.869</x:v>
      </x:c>
      <x:c r="C4" s="6" t="n">
        <x:v>13477.619</x:v>
      </x:c>
      <x:c r="D4" s="17" t="n">
        <x:f>B4-C4</x:f>
        <x:v>6155.249999999998</x:v>
      </x:c>
      <x:c r="E4" s="52" t="n">
        <x:f>B4+C4</x:f>
        <x:v>33110.488</x:v>
      </x:c>
      <x:c r="F4" s="53" t="n">
        <x:f>100*B4/C4</x:f>
        <x:v>145.67015880178835</x:v>
      </x:c>
      <x:c r="G4" s="53" t="n">
        <x:f>100*(B4/SUMIFS($B$2:$B$20,$A$2:$A$20,A4-1)-1)</x:f>
        <x:v>-33.35300993638468</x:v>
      </x:c>
      <x:c r="H4" s="53" t="n">
        <x:f>100*(C4/SUMIFS($C$2:$C$20,$A$2:$A$20,A4-1)-1)</x:f>
        <x:v>-43.097273649898426</x:v>
      </x:c>
      <x:c r="I4" s="54" t="n">
        <x:f>100*B4/'Charts'!$AJ$6</x:f>
        <x:v>95.77537668053785</x:v>
      </x:c>
      <x:c r="J4" s="54" t="n">
        <x:f>100*C4/'Charts'!$AK$6</x:f>
        <x:v>67.53038828114721</x:v>
      </x:c>
    </x:row>
    <x:row r="5" ht="23" customHeight="1">
      <x:c r="A5" s="4" t="n">
        <x:v>1923</x:v>
      </x:c>
      <x:c r="B5" s="6" t="n">
        <x:v>13903.332</x:v>
      </x:c>
      <x:c r="C5" s="6" t="n">
        <x:v>10820.892</x:v>
      </x:c>
      <x:c r="D5" s="17" t="n">
        <x:f>B5-C5</x:f>
        <x:v>3082.4400000000005</x:v>
      </x:c>
      <x:c r="E5" s="52" t="n">
        <x:f>B5+C5</x:f>
        <x:v>24724.224000000002</x:v>
      </x:c>
      <x:c r="F5" s="53" t="n">
        <x:f>100*B5/C5</x:f>
        <x:v>128.48600651406556</x:v>
      </x:c>
      <x:c r="G5" s="53" t="n">
        <x:f>100*(B5/SUMIFS($B$2:$B$20,$A$2:$A$20,A5-1)-1)</x:f>
        <x:v>-29.183391383093316</x:v>
      </x:c>
      <x:c r="H5" s="53" t="n">
        <x:f>100*(C5/SUMIFS($C$2:$C$20,$A$2:$A$20,A5-1)-1)</x:f>
        <x:v>-19.71213906551299</x:v>
      </x:c>
      <x:c r="I5" s="54" t="n">
        <x:f>100*B5/'Charts'!$AJ$6</x:f>
        <x:v>67.8248736552246</x:v>
      </x:c>
      <x:c r="J5" s="54" t="n">
        <x:f>100*C5/'Charts'!$AK$6</x:f>
        <x:v>54.21870423168659</x:v>
      </x:c>
    </x:row>
    <x:row r="6" ht="23" customHeight="1">
      <x:c r="A6" s="4" t="n">
        <x:v>1924</x:v>
      </x:c>
      <x:c r="B6" s="6" t="n">
        <x:v>17035.375</x:v>
      </x:c>
      <x:c r="C6" s="6" t="n">
        <x:v>15854.703</x:v>
      </x:c>
      <x:c r="D6" s="17" t="n">
        <x:f>B6-C6</x:f>
        <x:v>1180.6720000000005</x:v>
      </x:c>
      <x:c r="E6" s="52" t="n">
        <x:f>B6+C6</x:f>
        <x:v>32890.078</x:v>
      </x:c>
      <x:c r="F6" s="53" t="n">
        <x:f>100*B6/C6</x:f>
        <x:v>107.4468250840145</x:v>
      </x:c>
      <x:c r="G6" s="53" t="n">
        <x:f>100*(B6/SUMIFS($B$2:$B$20,$A$2:$A$20,A6-1)-1)</x:f>
        <x:v>22.52728338789578</x:v>
      </x:c>
      <x:c r="H6" s="53" t="n">
        <x:f>100*(C6/SUMIFS($C$2:$C$20,$A$2:$A$20,A6-1)-1)</x:f>
        <x:v>46.51937197044384</x:v>
      </x:c>
      <x:c r="I6" s="54" t="n">
        <x:f>100*B6/'Charts'!$AJ$6</x:f>
        <x:v>83.10397515101931</x:v>
      </x:c>
      <x:c r="J6" s="54" t="n">
        <x:f>100*C6/'Charts'!$AK$6</x:f>
        <x:v>79.44090493077965</x:v>
      </x:c>
    </x:row>
    <x:row r="7" ht="23" customHeight="1">
      <x:c r="A7" s="4" t="n">
        <x:v>1925</x:v>
      </x:c>
      <x:c r="B7" s="6" t="n">
        <x:v>18821.118</x:v>
      </x:c>
      <x:c r="C7" s="6" t="n">
        <x:v>17618.111</x:v>
      </x:c>
      <x:c r="D7" s="17" t="n">
        <x:f>B7-C7</x:f>
        <x:v>1203.0069999999978</x:v>
      </x:c>
      <x:c r="E7" s="52" t="n">
        <x:f>B7+C7</x:f>
        <x:v>36439.229</x:v>
      </x:c>
      <x:c r="F7" s="53" t="n">
        <x:f>100*B7/C7</x:f>
        <x:v>106.82824055314441</x:v>
      </x:c>
      <x:c r="G7" s="53" t="n">
        <x:f>100*(B7/SUMIFS($B$2:$B$20,$A$2:$A$20,A7-1)-1)</x:f>
        <x:v>10.482557619072065</x:v>
      </x:c>
      <x:c r="H7" s="53" t="n">
        <x:f>100*(C7/SUMIFS($C$2:$C$20,$A$2:$A$20,A7-1)-1)</x:f>
        <x:v>11.12230232253484</x:v>
      </x:c>
      <x:c r="I7" s="54" t="n">
        <x:f>100*B7/'Charts'!$AJ$6</x:f>
        <x:v>91.81539722996425</x:v>
      </x:c>
      <x:c r="J7" s="54" t="n">
        <x:f>100*C7/'Charts'!$AK$6</x:f>
        <x:v>88.27656254493844</x:v>
      </x:c>
    </x:row>
    <x:row r="8" ht="23" customHeight="1">
      <x:c r="A8" s="4" t="n">
        <x:v>1926</x:v>
      </x:c>
      <x:c r="B8" s="6" t="n">
        <x:v>17856.559</x:v>
      </x:c>
      <x:c r="C8" s="6" t="n">
        <x:v>15276.671</x:v>
      </x:c>
      <x:c r="D8" s="17" t="n">
        <x:f>B8-C8</x:f>
        <x:v>2579.888000000001</x:v>
      </x:c>
      <x:c r="E8" s="52" t="n">
        <x:f>B8+C8</x:f>
        <x:v>33133.23</x:v>
      </x:c>
      <x:c r="F8" s="53" t="n">
        <x:f>100*B8/C8</x:f>
        <x:v>116.88776304732885</x:v>
      </x:c>
      <x:c r="G8" s="53" t="n">
        <x:f>100*(B8/SUMIFS($B$2:$B$20,$A$2:$A$20,A8-1)-1)</x:f>
        <x:v>-5.124876216173757</x:v>
      </x:c>
      <x:c r="H8" s="53" t="n">
        <x:f>100*(C8/SUMIFS($C$2:$C$20,$A$2:$A$20,A8-1)-1)</x:f>
        <x:v>-13.289960541172663</x:v>
      </x:c>
      <x:c r="I8" s="54" t="n">
        <x:f>100*B8/'Charts'!$AJ$6</x:f>
        <x:v>87.10997177454036</x:v>
      </x:c>
      <x:c r="J8" s="54" t="n">
        <x:f>100*C8/'Charts'!$AK$6</x:f>
        <x:v>76.54464221561253</x:v>
      </x:c>
    </x:row>
    <x:row r="9" ht="23" customHeight="1">
      <x:c r="A9" s="4" t="n">
        <x:v>1927</x:v>
      </x:c>
      <x:c r="B9" s="6" t="n">
        <x:v>20135.438</x:v>
      </x:c>
      <x:c r="C9" s="6" t="n">
        <x:v>17961.632</x:v>
      </x:c>
      <x:c r="D9" s="17" t="n">
        <x:f>B9-C9</x:f>
        <x:v>2173.805999999997</x:v>
      </x:c>
      <x:c r="E9" s="52" t="n">
        <x:f>B9+C9</x:f>
        <x:v>38097.07</x:v>
      </x:c>
      <x:c r="F9" s="53" t="n">
        <x:f>100*B9/C9</x:f>
        <x:v>112.10249714502555</x:v>
      </x:c>
      <x:c r="G9" s="53" t="n">
        <x:f>100*(B9/SUMIFS($B$2:$B$20,$A$2:$A$20,A9-1)-1)</x:f>
        <x:v>12.76213967091866</x:v>
      </x:c>
      <x:c r="H9" s="53" t="n">
        <x:f>100*(C9/SUMIFS($C$2:$C$20,$A$2:$A$20,A9-1)-1)</x:f>
        <x:v>17.57556341954345</x:v>
      </x:c>
      <x:c r="I9" s="54" t="n">
        <x:f>100*B9/'Charts'!$AJ$6</x:f>
        <x:v>98.22706803970502</x:v>
      </x:c>
      <x:c r="J9" s="54" t="n">
        <x:f>100*C9/'Charts'!$AK$6</x:f>
        <x:v>89.99779435248011</x:v>
      </x:c>
    </x:row>
    <x:row r="10" ht="23" customHeight="1">
      <x:c r="A10" s="4" t="n">
        <x:v>1928</x:v>
      </x:c>
      <x:c r="B10" s="6" t="n">
        <x:v>21224.211</x:v>
      </x:c>
      <x:c r="C10" s="6" t="n">
        <x:v>19207.903</x:v>
      </x:c>
      <x:c r="D10" s="17" t="n">
        <x:f>B10-C10</x:f>
        <x:v>2016.308000000001</x:v>
      </x:c>
      <x:c r="E10" s="52" t="n">
        <x:f>B10+C10</x:f>
        <x:v>40432.114</x:v>
      </x:c>
      <x:c r="F10" s="53" t="n">
        <x:f>100*B10/C10</x:f>
        <x:v>110.49728333176195</x:v>
      </x:c>
      <x:c r="G10" s="53" t="n">
        <x:f>100*(B10/SUMIFS($B$2:$B$20,$A$2:$A$20,A10-1)-1)</x:f>
        <x:v>5.407247659574144</x:v>
      </x:c>
      <x:c r="H10" s="53" t="n">
        <x:f>100*(C10/SUMIFS($C$2:$C$20,$A$2:$A$20,A10-1)-1)</x:f>
        <x:v>6.938517613544226</x:v>
      </x:c>
      <x:c r="I10" s="54" t="n">
        <x:f>100*B10/'Charts'!$AJ$6</x:f>
        <x:v>103.53844887735026</x:v>
      </x:c>
      <x:c r="J10" s="54" t="n">
        <x:f>100*C10/'Charts'!$AK$6</x:f>
        <x:v>96.24230716542826</x:v>
      </x:c>
    </x:row>
    <x:row r="11" ht="23" customHeight="1">
      <x:c r="A11" s="4" t="n">
        <x:v>1929</x:v>
      </x:c>
      <x:c r="B11" s="6" t="n">
        <x:v>20498.869</x:v>
      </x:c>
      <x:c r="C11" s="6" t="n">
        <x:v>19957.858</x:v>
      </x:c>
      <x:c r="D11" s="17" t="n">
        <x:f>B11-C11</x:f>
        <x:v>541.0109999999986</x:v>
      </x:c>
      <x:c r="E11" s="52" t="n">
        <x:f>B11+C11</x:f>
        <x:v>40456.727</x:v>
      </x:c>
      <x:c r="F11" s="53" t="n">
        <x:f>100*B11/C11</x:f>
        <x:v>102.71076685684405</x:v>
      </x:c>
      <x:c r="G11" s="53" t="n">
        <x:f>100*(B11/SUMIFS($B$2:$B$20,$A$2:$A$20,A11-1)-1)</x:f>
        <x:v>-3.417521621887387</x:v>
      </x:c>
      <x:c r="H11" s="53" t="n">
        <x:f>100*(C11/SUMIFS($C$2:$C$20,$A$2:$A$20,A11-1)-1)</x:f>
        <x:v>3.9044085135165663</x:v>
      </x:c>
      <x:c r="I11" s="54" t="n">
        <x:f>100*B11/'Charts'!$AJ$6</x:f>
        <x:v>100</x:v>
      </x:c>
      <x:c r="J11" s="54" t="n">
        <x:f>100*C11/'Charts'!$AK$6</x:f>
        <x:v>100</x:v>
      </x:c>
    </x:row>
    <x:row r="12" ht="23" customHeight="1">
      <x:c r="A12" s="4" t="n">
        <x:v>1930</x:v>
      </x:c>
      <x:c r="B12" s="6" t="n">
        <x:v>17473.732</x:v>
      </x:c>
      <x:c r="C12" s="6" t="n">
        <x:v>15714.503</x:v>
      </x:c>
      <x:c r="D12" s="17" t="n">
        <x:f>B12-C12</x:f>
        <x:v>1759.2289999999994</x:v>
      </x:c>
      <x:c r="E12" s="52" t="n">
        <x:f>B12+C12</x:f>
        <x:v>33188.235</x:v>
      </x:c>
      <x:c r="F12" s="53" t="n">
        <x:f>100*B12/C12</x:f>
        <x:v>111.19493884089111</x:v>
      </x:c>
      <x:c r="G12" s="53" t="n">
        <x:f>100*(B12/SUMIFS($B$2:$B$20,$A$2:$A$20,A12-1)-1)</x:f>
        <x:v>-14.757580040147577</x:v>
      </x:c>
      <x:c r="H12" s="53" t="n">
        <x:f>100*(C12/SUMIFS($C$2:$C$20,$A$2:$A$20,A12-1)-1)</x:f>
        <x:v>-21.261575265241383</x:v>
      </x:c>
      <x:c r="I12" s="54" t="n">
        <x:f>100*B12/'Charts'!$AJ$6</x:f>
        <x:v>85.24241995985243</x:v>
      </x:c>
      <x:c r="J12" s="54" t="n">
        <x:f>100*C12/'Charts'!$AK$6</x:f>
        <x:v>78.73842473475861</x:v>
      </x:c>
    </x:row>
    <x:row r="13" ht="23" customHeight="1">
      <x:c r="A13" s="4" t="n">
        <x:v>1931</x:v>
      </x:c>
      <x:c r="B13" s="6" t="n">
        <x:v>13149.393</x:v>
      </x:c>
      <x:c r="C13" s="6" t="n">
        <x:v>11800.535</x:v>
      </x:c>
      <x:c r="D13" s="17" t="n">
        <x:f>B13-C13</x:f>
        <x:v>1348.8580000000002</x:v>
      </x:c>
      <x:c r="E13" s="52" t="n">
        <x:f>B13+C13</x:f>
        <x:v>24949.928</x:v>
      </x:c>
      <x:c r="F13" s="53" t="n">
        <x:f>100*B13/C13</x:f>
        <x:v>111.43048175358152</x:v>
      </x:c>
      <x:c r="G13" s="53" t="n">
        <x:f>100*(B13/SUMIFS($B$2:$B$20,$A$2:$A$20,A13-1)-1)</x:f>
        <x:v>-24.747655509424092</x:v>
      </x:c>
      <x:c r="H13" s="53" t="n">
        <x:f>100*(C13/SUMIFS($C$2:$C$20,$A$2:$A$20,A13-1)-1)</x:f>
        <x:v>-24.906724698833937</x:v>
      </x:c>
      <x:c r="I13" s="54" t="n">
        <x:f>100*B13/'Charts'!$AJ$6</x:f>
        <x:v>64.14691952029159</x:v>
      </x:c>
      <x:c r="J13" s="54" t="n">
        <x:f>100*C13/'Charts'!$AK$6</x:f>
        <x:v>59.127262053873714</x:v>
      </x:c>
    </x:row>
    <x:row r="14" ht="23" customHeight="1">
      <x:c r="A14" s="4" t="n">
        <x:v>1932</x:v>
      </x:c>
      <x:c r="B14" s="6" t="n">
        <x:v>7391.89</x:v>
      </x:c>
      <x:c r="C14" s="6" t="n">
        <x:v>8157.914</x:v>
      </x:c>
      <x:c r="D14" s="17" t="n">
        <x:f>B14-C14</x:f>
        <x:v>-766.0239999999994</x:v>
      </x:c>
      <x:c r="E14" s="52" t="n">
        <x:f>B14+C14</x:f>
        <x:v>15549.804</x:v>
      </x:c>
      <x:c r="F14" s="53" t="n">
        <x:f>100*B14/C14</x:f>
        <x:v>90.61005055949352</x:v>
      </x:c>
      <x:c r="G14" s="53" t="n">
        <x:f>100*(B14/SUMIFS($B$2:$B$20,$A$2:$A$20,A14-1)-1)</x:f>
        <x:v>-43.78531389243594</x:v>
      </x:c>
      <x:c r="H14" s="53" t="n">
        <x:f>100*(C14/SUMIFS($C$2:$C$20,$A$2:$A$20,A14-1)-1)</x:f>
        <x:v>-30.868269955557103</x:v>
      </x:c>
      <x:c r="I14" s="54" t="n">
        <x:f>100*B14/'Charts'!$AJ$6</x:f>
        <x:v>36.05998945600365</x:v>
      </x:c>
      <x:c r="J14" s="54" t="n">
        <x:f>100*C14/'Charts'!$AK$6</x:f>
        <x:v>40.87569918575431</x:v>
      </x:c>
    </x:row>
    <x:row r="15" ht="23" customHeight="1">
      <x:c r="A15" s="4" t="n">
        <x:v>1933</x:v>
      </x:c>
      <x:c r="B15" s="6" t="n">
        <x:v>5923.023</x:v>
      </x:c>
      <x:c r="C15" s="6" t="n">
        <x:v>6125.196</x:v>
      </x:c>
      <x:c r="D15" s="17" t="n">
        <x:f>B15-C15</x:f>
        <x:v>-202.17299999999977</x:v>
      </x:c>
      <x:c r="E15" s="52" t="n">
        <x:f>B15+C15</x:f>
        <x:v>12048.219000000001</x:v>
      </x:c>
      <x:c r="F15" s="53" t="n">
        <x:f>100*B15/C15</x:f>
        <x:v>96.69932194822827</x:v>
      </x:c>
      <x:c r="G15" s="53" t="n">
        <x:f>100*(B15/SUMIFS($B$2:$B$20,$A$2:$A$20,A15-1)-1)</x:f>
        <x:v>-19.8713319597559</x:v>
      </x:c>
      <x:c r="H15" s="53" t="n">
        <x:f>100*(C15/SUMIFS($C$2:$C$20,$A$2:$A$20,A15-1)-1)</x:f>
        <x:v>-24.917129550519903</x:v>
      </x:c>
      <x:c r="I15" s="54" t="n">
        <x:f>100*B15/'Charts'!$AJ$6</x:f>
        <x:v>28.89438924654819</x:v>
      </x:c>
      <x:c r="J15" s="54" t="n">
        <x:f>100*C15/'Charts'!$AK$6</x:f>
        <x:v>30.690648264959094</x:v>
      </x:c>
    </x:row>
    <x:row r="16" ht="23" customHeight="1">
      <x:c r="A16" s="4" t="n">
        <x:v>1934</x:v>
      </x:c>
      <x:c r="B16" s="6" t="n">
        <x:v>7287.549</x:v>
      </x:c>
      <x:c r="C16" s="6" t="n">
        <x:v>6391.566</x:v>
      </x:c>
      <x:c r="D16" s="17" t="n">
        <x:f>B16-C16</x:f>
        <x:v>895.9830000000002</x:v>
      </x:c>
      <x:c r="E16" s="52" t="n">
        <x:f>B16+C16</x:f>
        <x:v>13679.115</x:v>
      </x:c>
      <x:c r="F16" s="53" t="n">
        <x:f>100*B16/C16</x:f>
        <x:v>114.01820774439317</x:v>
      </x:c>
      <x:c r="G16" s="53" t="n">
        <x:f>100*(B16/SUMIFS($B$2:$B$20,$A$2:$A$20,A16-1)-1)</x:f>
        <x:v>23.037661680530363</x:v>
      </x:c>
      <x:c r="H16" s="53" t="n">
        <x:f>100*(C16/SUMIFS($C$2:$C$20,$A$2:$A$20,A16-1)-1)</x:f>
        <x:v>4.348758798902108</x:v>
      </x:c>
      <x:c r="I16" s="54" t="n">
        <x:f>100*B16/'Charts'!$AJ$6</x:f>
        <x:v>35.550980885823506</x:v>
      </x:c>
      <x:c r="J16" s="54" t="n">
        <x:f>100*C16/'Charts'!$AK$6</x:f>
        <x:v>32.0253105318216</x:v>
      </x:c>
    </x:row>
    <x:row r="17" ht="23" customHeight="1">
      <x:c r="A17" s="4" t="n">
        <x:v>1935</x:v>
      </x:c>
      <x:c r="B17" s="6" t="n">
        <x:v>7946.649</x:v>
      </x:c>
      <x:c r="C17" s="6" t="n">
        <x:v>6743.174</x:v>
      </x:c>
      <x:c r="D17" s="17" t="n">
        <x:f>B17-C17</x:f>
        <x:v>1203.4750000000004</x:v>
      </x:c>
      <x:c r="E17" s="52" t="n">
        <x:f>B17+C17</x:f>
        <x:v>14689.823</x:v>
      </x:c>
      <x:c r="F17" s="53" t="n">
        <x:f>100*B17/C17</x:f>
        <x:v>117.84730751423588</x:v>
      </x:c>
      <x:c r="G17" s="53" t="n">
        <x:f>100*(B17/SUMIFS($B$2:$B$20,$A$2:$A$20,A17-1)-1)</x:f>
        <x:v>9.044193047621363</x:v>
      </x:c>
      <x:c r="H17" s="53" t="n">
        <x:f>100*(C17/SUMIFS($C$2:$C$20,$A$2:$A$20,A17-1)-1)</x:f>
        <x:v>5.501124450565009</x:v>
      </x:c>
      <x:c r="I17" s="54" t="n">
        <x:f>100*B17/'Charts'!$AJ$6</x:f>
        <x:v>38.766280227460356</x:v>
      </x:c>
      <x:c r="J17" s="54" t="n">
        <x:f>100*C17/'Charts'!$AK$6</x:f>
        <x:v>33.78706271985701</x:v>
      </x:c>
    </x:row>
    <x:row r="18" ht="23" customHeight="1">
      <x:c r="A18" s="4" t="n">
        <x:v>1936</x:v>
      </x:c>
      <x:c r="B18" s="6" t="n">
        <x:v>8036.368</x:v>
      </x:c>
      <x:c r="C18" s="6" t="n">
        <x:v>7915.215</x:v>
      </x:c>
      <x:c r="D18" s="17" t="n">
        <x:f>B18-C18</x:f>
        <x:v>121.15300000000025</x:v>
      </x:c>
      <x:c r="E18" s="52" t="n">
        <x:f>B18+C18</x:f>
        <x:v>15951.583</x:v>
      </x:c>
      <x:c r="F18" s="53" t="n">
        <x:f>100*B18/C18</x:f>
        <x:v>101.53063435421527</x:v>
      </x:c>
      <x:c r="G18" s="53" t="n">
        <x:f>100*(B18/SUMIFS($B$2:$B$20,$A$2:$A$20,A18-1)-1)</x:f>
        <x:v>1.1290167717235233</x:v>
      </x:c>
      <x:c r="H18" s="53" t="n">
        <x:f>100*(C18/SUMIFS($C$2:$C$20,$A$2:$A$20,A18-1)-1)</x:f>
        <x:v>17.38114721642954</x:v>
      </x:c>
      <x:c r="I18" s="54" t="n">
        <x:f>100*B18/'Charts'!$AJ$6</x:f>
        <x:v>39.203958033001726</x:v>
      </x:c>
      <x:c r="J18" s="54" t="n">
        <x:f>100*C18/'Charts'!$AK$6</x:f>
        <x:v>39.659641831302736</x:v>
      </x:c>
    </x:row>
    <x:row r="19" ht="23" customHeight="1">
      <x:c r="A19" s="4" t="n">
        <x:v>1937</x:v>
      </x:c>
      <x:c r="B19" s="6" t="n">
        <x:v>11982.668</x:v>
      </x:c>
      <x:c r="C19" s="6" t="n">
        <x:v>10981.526</x:v>
      </x:c>
      <x:c r="D19" s="17" t="n">
        <x:f>B19-C19</x:f>
        <x:v>1001.1419999999998</x:v>
      </x:c>
      <x:c r="E19" s="52" t="n">
        <x:f>B19+C19</x:f>
        <x:v>22964.194</x:v>
      </x:c>
      <x:c r="F19" s="53" t="n">
        <x:f>100*B19/C19</x:f>
        <x:v>109.11660182746915</x:v>
      </x:c>
      <x:c r="G19" s="53" t="n">
        <x:f>100*(B19/SUMIFS($B$2:$B$20,$A$2:$A$20,A19-1)-1)</x:f>
        <x:v>49.10551632279656</x:v>
      </x:c>
      <x:c r="H19" s="53" t="n">
        <x:f>100*(C19/SUMIFS($C$2:$C$20,$A$2:$A$20,A19-1)-1)</x:f>
        <x:v>38.739453066025376</x:v>
      </x:c>
      <x:c r="I19" s="54" t="n">
        <x:f>100*B19/'Charts'!$AJ$6</x:f>
        <x:v>58.455264044079705</x:v>
      </x:c>
      <x:c r="J19" s="54" t="n">
        <x:f>100*C19/'Charts'!$AK$6</x:f>
        <x:v>55.02357016469403</x:v>
      </x:c>
    </x:row>
    <x:row r="20" ht="23" customHeight="1">
      <x:c r="A20" s="4" t="n">
        <x:v>1938</x:v>
      </x:c>
      <x:c r="B20" s="6" t="n">
        <x:v>10234.514</x:v>
      </x:c>
      <x:c r="C20" s="6" t="n">
        <x:v>8390.351</x:v>
      </x:c>
      <x:c r="D20" s="17" t="n">
        <x:f>B20-C20</x:f>
        <x:v>1844.1629999999986</x:v>
      </x:c>
      <x:c r="E20" s="52" t="n">
        <x:f>B20+C20</x:f>
        <x:v>18624.864999999998</x:v>
      </x:c>
      <x:c r="F20" s="53" t="n">
        <x:f>100*B20/C20</x:f>
        <x:v>121.97956915032516</x:v>
      </x:c>
      <x:c r="G20" s="53" t="n">
        <x:f>100*(B20/SUMIFS($B$2:$B$20,$A$2:$A$20,A20-1)-1)</x:f>
        <x:v>-14.589021409923063</x:v>
      </x:c>
      <x:c r="H20" s="53" t="n">
        <x:f>100*(C20/SUMIFS($C$2:$C$20,$A$2:$A$20,A20-1)-1)</x:f>
        <x:v>-23.595764377373406</x:v>
      </x:c>
      <x:c r="I20" s="54" t="n">
        <x:f>100*B20/'Charts'!$AJ$6</x:f>
        <x:v>49.92721305746185</x:v>
      </x:c>
      <x:c r="J20" s="54" t="n">
        <x:f>100*C20/'Charts'!$AK$6</x:f>
        <x:v>42.04033819661409</x:v>
      </x:c>
    </x:row>
  </x:sheetData>
  <x:conditionalFormatting sqref="D2:D20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G3:H20">
    <x:cfRule type="cellIs" dxfId="6" priority="3" operator="greaterThan">
      <x:formula>0</x:formula>
    </x:cfRule>
    <x:cfRule type="cellIs" dxfId="7" priority="4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0c48ca28d0949b7"/>
  </x:tableParts>
</x:worksheet>
</file>

<file path=xl/worksheets/sheet2.xml><?xml version="1.0" encoding="utf-8"?>
<x:worksheet xmlns:x="http://schemas.openxmlformats.org/spreadsheetml/2006/main">
  <x:sheetPr>
    <x:tabColor rgb="FF233C5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9" hidden="0" customWidth="1"/>
    <x:col min="3" max="3" width="25" hidden="0" customWidth="1"/>
    <x:col min="4" max="4" width="25" hidden="0" customWidth="1"/>
    <x:col min="5" max="5" width="34" hidden="0" customWidth="1"/>
    <x:col min="6" max="6" width="26" hidden="0" customWidth="1"/>
    <x:col min="7" max="7" width="26" hidden="0" customWidth="1"/>
  </x:cols>
  <x:sheetData>
    <x:row r="1" ht="36" customHeight="1">
      <x:c r="A1" s="57" t="str">
        <x:v>year</x:v>
      </x:c>
      <x:c r="B1" s="58" t="str">
        <x:v>partner</x:v>
      </x:c>
      <x:c r="C1" s="58" t="str">
        <x:v>exports_million_kc</x:v>
      </x:c>
      <x:c r="D1" s="58" t="str">
        <x:v>imports_million_kc</x:v>
      </x:c>
      <x:c r="E1" s="58" t="str">
        <x:v>trade_balance_million_kc</x:v>
      </x:c>
      <x:c r="F1" s="63" t="str">
        <x:v>export_share_pct</x:v>
      </x:c>
      <x:c r="G1" s="64" t="str">
        <x:v>import_share_pct</x:v>
      </x:c>
    </x:row>
    <x:row r="2" ht="23" customHeight="1">
      <x:c r="A2" s="4" t="n">
        <x:v>1920</x:v>
      </x:c>
      <x:c r="B2" s="14" t="str">
        <x:v>Austria</x:v>
      </x:c>
      <x:c r="C2" s="6" t="n">
        <x:v>9679</x:v>
      </x:c>
      <x:c r="D2" s="6" t="n">
        <x:v>3042</x:v>
      </x:c>
      <x:c r="E2" s="17" t="n">
        <x:f>C2-D2</x:f>
        <x:v>6637</x:v>
      </x:c>
      <x:c r="F2" s="53" t="n">
        <x:f>100*C2/SUMIFS('Annual totals'!$B$2:$B$20,'Annual totals'!$A$2:$A$20,A2)</x:f>
        <x:v>33.94399202738778</x:v>
      </x:c>
      <x:c r="G2" s="53" t="n">
        <x:f>100*D2/SUMIFS('Annual totals'!$C$2:$C$20,'Annual totals'!$A$2:$A$20,A2)</x:f>
        <x:v>12.721478451584467</x:v>
      </x:c>
    </x:row>
    <x:row r="3" ht="23" customHeight="1">
      <x:c r="A3" s="4" t="n">
        <x:v>1920</x:v>
      </x:c>
      <x:c r="B3" s="14" t="str">
        <x:v>Belgium and Luxembourg</x:v>
      </x:c>
      <x:c r="C3" s="6" t="n">
        <x:v>135</x:v>
      </x:c>
      <x:c r="D3" s="6" t="n">
        <x:v>1038</x:v>
      </x:c>
      <x:c r="E3" s="17" t="n">
        <x:f>C3-D3</x:f>
        <x:v>-903</x:v>
      </x:c>
      <x:c r="F3" s="53" t="n">
        <x:f>100*C3/SUMIFS('Annual totals'!$B$2:$B$20,'Annual totals'!$A$2:$A$20,A3)</x:f>
        <x:v>0.4734413600265885</x:v>
      </x:c>
      <x:c r="G3" s="53" t="n">
        <x:f>100*D3/SUMIFS('Annual totals'!$C$2:$C$20,'Annual totals'!$A$2:$A$20,A3)</x:f>
        <x:v>4.3408595110929244</x:v>
      </x:c>
    </x:row>
    <x:row r="4" ht="23" customHeight="1">
      <x:c r="A4" s="4" t="n">
        <x:v>1920</x:v>
      </x:c>
      <x:c r="B4" s="14" t="str">
        <x:v>France</x:v>
      </x:c>
      <x:c r="C4" s="6" t="n">
        <x:v>2374</x:v>
      </x:c>
      <x:c r="D4" s="6" t="n">
        <x:v>955</x:v>
      </x:c>
      <x:c r="E4" s="17" t="n">
        <x:f>C4-D4</x:f>
        <x:v>1419</x:v>
      </x:c>
      <x:c r="F4" s="53" t="n">
        <x:f>100*C4/SUMIFS('Annual totals'!$B$2:$B$20,'Annual totals'!$A$2:$A$20,A4)</x:f>
        <x:v>8.32555399039349</x:v>
      </x:c>
      <x:c r="G4" s="53" t="n">
        <x:f>100*D4/SUMIFS('Annual totals'!$C$2:$C$20,'Annual totals'!$A$2:$A$20,A4)</x:f>
        <x:v>3.993758028028654</x:v>
      </x:c>
    </x:row>
    <x:row r="5" ht="23" customHeight="1">
      <x:c r="A5" s="4" t="n">
        <x:v>1920</x:v>
      </x:c>
      <x:c r="B5" s="14" t="str">
        <x:v>Germany</x:v>
      </x:c>
      <x:c r="C5" s="6" t="n">
        <x:v>3502</x:v>
      </x:c>
      <x:c r="D5" s="6" t="n">
        <x:v>5618</x:v>
      </x:c>
      <x:c r="E5" s="17" t="n">
        <x:f>C5-D5</x:f>
        <x:v>-2116</x:v>
      </x:c>
      <x:c r="F5" s="53" t="n">
        <x:f>100*C5/SUMIFS('Annual totals'!$B$2:$B$20,'Annual totals'!$A$2:$A$20,A5)</x:f>
        <x:v>12.281419576393429</x:v>
      </x:c>
      <x:c r="G5" s="53" t="n">
        <x:f>100*D5/SUMIFS('Annual totals'!$C$2:$C$20,'Annual totals'!$A$2:$A$20,A5)</x:f>
        <x:v>23.494170263314114</x:v>
      </x:c>
    </x:row>
    <x:row r="6" ht="23" customHeight="1">
      <x:c r="A6" s="4" t="n">
        <x:v>1920</x:v>
      </x:c>
      <x:c r="B6" s="14" t="str">
        <x:v>Hungary</x:v>
      </x:c>
      <x:c r="C6" s="6" t="n">
        <x:v>2512</x:v>
      </x:c>
      <x:c r="D6" s="6" t="n">
        <x:v>656</x:v>
      </x:c>
      <x:c r="E6" s="17" t="n">
        <x:f>C6-D6</x:f>
        <x:v>1856</x:v>
      </x:c>
      <x:c r="F6" s="53" t="n">
        <x:f>100*C6/SUMIFS('Annual totals'!$B$2:$B$20,'Annual totals'!$A$2:$A$20,A6)</x:f>
        <x:v>8.80951626953178</x:v>
      </x:c>
      <x:c r="G6" s="53" t="n">
        <x:f>100*D6/SUMIFS('Annual totals'!$C$2:$C$20,'Annual totals'!$A$2:$A$20,A6)</x:f>
        <x:v>2.743356299881463</x:v>
      </x:c>
    </x:row>
    <x:row r="7" ht="23" customHeight="1">
      <x:c r="A7" s="4" t="n">
        <x:v>1920</x:v>
      </x:c>
      <x:c r="B7" s="14" t="str">
        <x:v>Italy</x:v>
      </x:c>
      <x:c r="C7" s="6" t="n">
        <x:v>1301</x:v>
      </x:c>
      <x:c r="D7" s="6" t="n">
        <x:v>1003</x:v>
      </x:c>
      <x:c r="E7" s="17" t="n">
        <x:f>C7-D7</x:f>
        <x:v>298</x:v>
      </x:c>
      <x:c r="F7" s="53" t="n">
        <x:f>100*C7/SUMIFS('Annual totals'!$B$2:$B$20,'Annual totals'!$A$2:$A$20,A7)</x:f>
        <x:v>4.562571921441419</x:v>
      </x:c>
      <x:c r="G7" s="53" t="n">
        <x:f>100*D7/SUMIFS('Annual totals'!$C$2:$C$20,'Annual totals'!$A$2:$A$20,A7)</x:f>
        <x:v>4.194491415824858</x:v>
      </x:c>
    </x:row>
    <x:row r="8" ht="23" customHeight="1">
      <x:c r="A8" s="4" t="n">
        <x:v>1920</x:v>
      </x:c>
      <x:c r="B8" s="14" t="str">
        <x:v>Netherlands</x:v>
      </x:c>
      <x:c r="C8" s="6" t="n">
        <x:v>557</x:v>
      </x:c>
      <x:c r="D8" s="6" t="n">
        <x:v>1316</x:v>
      </x:c>
      <x:c r="E8" s="17" t="n">
        <x:f>C8-D8</x:f>
        <x:v>-759</x:v>
      </x:c>
      <x:c r="F8" s="53" t="n">
        <x:f>100*C8/SUMIFS('Annual totals'!$B$2:$B$20,'Annual totals'!$A$2:$A$20,A8)</x:f>
        <x:v>1.9533839817393317</x:v>
      </x:c>
      <x:c r="G8" s="53" t="n">
        <x:f>100*D8/SUMIFS('Annual totals'!$C$2:$C$20,'Annual totals'!$A$2:$A$20,A8)</x:f>
        <x:v>5.503440382079276</x:v>
      </x:c>
    </x:row>
    <x:row r="9" ht="23" customHeight="1">
      <x:c r="A9" s="4" t="n">
        <x:v>1920</x:v>
      </x:c>
      <x:c r="B9" s="14" t="str">
        <x:v>Poland</x:v>
      </x:c>
      <x:c r="C9" s="6" t="n">
        <x:v>1425</x:v>
      </x:c>
      <x:c r="D9" s="6" t="n">
        <x:v>399</x:v>
      </x:c>
      <x:c r="E9" s="17" t="n">
        <x:f>C9-D9</x:f>
        <x:v>1026</x:v>
      </x:c>
      <x:c r="F9" s="53" t="n">
        <x:f>100*C9/SUMIFS('Annual totals'!$B$2:$B$20,'Annual totals'!$A$2:$A$20,A9)</x:f>
        <x:v>4.997436578058434</x:v>
      </x:c>
      <x:c r="G9" s="53" t="n">
        <x:f>100*D9/SUMIFS('Annual totals'!$C$2:$C$20,'Annual totals'!$A$2:$A$20,A9)</x:f>
        <x:v>1.6685962860559507</x:v>
      </x:c>
    </x:row>
    <x:row r="10" ht="23" customHeight="1">
      <x:c r="A10" s="4" t="n">
        <x:v>1920</x:v>
      </x:c>
      <x:c r="B10" s="14" t="str">
        <x:v>Romania</x:v>
      </x:c>
      <x:c r="C10" s="6" t="n">
        <x:v>732</x:v>
      </x:c>
      <x:c r="D10" s="6" t="n">
        <x:v>308</x:v>
      </x:c>
      <x:c r="E10" s="17" t="n">
        <x:f>C10-D10</x:f>
        <x:v>424</x:v>
      </x:c>
      <x:c r="F10" s="53" t="n">
        <x:f>100*C10/SUMIFS('Annual totals'!$B$2:$B$20,'Annual totals'!$A$2:$A$20,A10)</x:f>
        <x:v>2.56710426325528</x:v>
      </x:c>
      <x:c r="G10" s="53" t="n">
        <x:f>100*D10/SUMIFS('Annual totals'!$C$2:$C$20,'Annual totals'!$A$2:$A$20,A10)</x:f>
        <x:v>1.2880392383589796</x:v>
      </x:c>
    </x:row>
    <x:row r="11" ht="23" customHeight="1">
      <x:c r="A11" s="4" t="n">
        <x:v>1920</x:v>
      </x:c>
      <x:c r="B11" s="14" t="str">
        <x:v>Sweden</x:v>
      </x:c>
      <x:c r="C11" s="6" t="n">
        <x:v>286</x:v>
      </x:c>
      <x:c r="D11" s="6" t="n">
        <x:v>366</x:v>
      </x:c>
      <x:c r="E11" s="17" t="n">
        <x:f>C11-D11</x:f>
        <x:v>-80</x:v>
      </x:c>
      <x:c r="F11" s="53" t="n">
        <x:f>100*C11/SUMIFS('Annual totals'!$B$2:$B$20,'Annual totals'!$A$2:$A$20,A11)</x:f>
        <x:v>1.0029942886489207</x:v>
      </x:c>
      <x:c r="G11" s="53" t="n">
        <x:f>100*D11/SUMIFS('Annual totals'!$C$2:$C$20,'Annual totals'!$A$2:$A$20,A11)</x:f>
        <x:v>1.5305920819460601</x:v>
      </x:c>
    </x:row>
    <x:row r="12" ht="23" customHeight="1">
      <x:c r="A12" s="4" t="n">
        <x:v>1920</x:v>
      </x:c>
      <x:c r="B12" s="14" t="str">
        <x:v>Switzerland</x:v>
      </x:c>
      <x:c r="C12" s="6" t="n">
        <x:v>766</x:v>
      </x:c>
      <x:c r="D12" s="6" t="n">
        <x:v>625</x:v>
      </x:c>
      <x:c r="E12" s="17" t="n">
        <x:f>C12-D12</x:f>
        <x:v>141</x:v>
      </x:c>
      <x:c r="F12" s="53" t="n">
        <x:f>100*C12/SUMIFS('Annual totals'!$B$2:$B$20,'Annual totals'!$A$2:$A$20,A12)</x:f>
        <x:v>2.6863413465212354</x:v>
      </x:c>
      <x:c r="G12" s="53" t="n">
        <x:f>100*D12/SUMIFS('Annual totals'!$C$2:$C$20,'Annual totals'!$A$2:$A$20,A12)</x:f>
        <x:v>2.6137159869297473</x:v>
      </x:c>
    </x:row>
    <x:row r="13" ht="23" customHeight="1">
      <x:c r="A13" s="4" t="n">
        <x:v>1920</x:v>
      </x:c>
      <x:c r="B13" s="14" t="str">
        <x:v>USSR</x:v>
      </x:c>
      <x:c r="C13" s="6" t="n">
        <x:v>126</x:v>
      </x:c>
      <x:c r="D13" s="6" t="n">
        <x:v>139</x:v>
      </x:c>
      <x:c r="E13" s="17" t="n">
        <x:f>C13-D13</x:f>
        <x:v>-13</x:v>
      </x:c>
      <x:c r="F13" s="53" t="n">
        <x:f>100*C13/SUMIFS('Annual totals'!$B$2:$B$20,'Annual totals'!$A$2:$A$20,A13)</x:f>
        <x:v>0.4418786026914826</x:v>
      </x:c>
      <x:c r="G13" s="53" t="n">
        <x:f>100*D13/SUMIFS('Annual totals'!$C$2:$C$20,'Annual totals'!$A$2:$A$20,A13)</x:f>
        <x:v>0.5812904354931758</x:v>
      </x:c>
    </x:row>
    <x:row r="14" ht="23" customHeight="1">
      <x:c r="A14" s="4" t="n">
        <x:v>1920</x:v>
      </x:c>
      <x:c r="B14" s="14" t="str">
        <x:v>United Kingdom</x:v>
      </x:c>
      <x:c r="C14" s="6" t="n">
        <x:v>813</x:v>
      </x:c>
      <x:c r="D14" s="6" t="n">
        <x:v>1009</x:v>
      </x:c>
      <x:c r="E14" s="17" t="n">
        <x:f>C14-D14</x:f>
        <x:v>-196</x:v>
      </x:c>
      <x:c r="F14" s="53" t="n">
        <x:f>100*C14/SUMIFS('Annual totals'!$B$2:$B$20,'Annual totals'!$A$2:$A$20,A14)</x:f>
        <x:v>2.8511690792712328</x:v>
      </x:c>
      <x:c r="G14" s="53" t="n">
        <x:f>100*D14/SUMIFS('Annual totals'!$C$2:$C$20,'Annual totals'!$A$2:$A$20,A14)</x:f>
        <x:v>4.219583089299384</x:v>
      </x:c>
    </x:row>
    <x:row r="15" ht="23" customHeight="1">
      <x:c r="A15" s="4" t="n">
        <x:v>1920</x:v>
      </x:c>
      <x:c r="B15" s="14" t="str">
        <x:v>United States</x:v>
      </x:c>
      <x:c r="C15" s="6" t="n">
        <x:v>544.257</x:v>
      </x:c>
      <x:c r="D15" s="6" t="n">
        <x:v>4111</x:v>
      </x:c>
      <x:c r="E15" s="17" t="n">
        <x:f>C15-D15</x:f>
        <x:v>-3566.743</x:v>
      </x:c>
      <x:c r="F15" s="53" t="n">
        <x:f>100*C15/SUMIFS('Annual totals'!$B$2:$B$20,'Annual totals'!$A$2:$A$20,A15)</x:f>
        <x:v>1.908694624325859</x:v>
      </x:c>
      <x:c r="G15" s="53" t="n">
        <x:f>100*D15/SUMIFS('Annual totals'!$C$2:$C$20,'Annual totals'!$A$2:$A$20,A15)</x:f>
        <x:v>17.191978275629108</x:v>
      </x:c>
    </x:row>
    <x:row r="16" ht="23" customHeight="1">
      <x:c r="A16" s="4" t="n">
        <x:v>1920</x:v>
      </x:c>
      <x:c r="B16" s="14" t="str">
        <x:v>Yugoslavia</x:v>
      </x:c>
      <x:c r="C16" s="6" t="n">
        <x:v>1082</x:v>
      </x:c>
      <x:c r="D16" s="6" t="n">
        <x:v>340</x:v>
      </x:c>
      <x:c r="E16" s="17" t="n">
        <x:f>C16-D16</x:f>
        <x:v>742</x:v>
      </x:c>
      <x:c r="F16" s="53" t="n">
        <x:f>100*C16/SUMIFS('Annual totals'!$B$2:$B$20,'Annual totals'!$A$2:$A$20,A16)</x:f>
        <x:v>3.7945448262871757</x:v>
      </x:c>
      <x:c r="G16" s="53" t="n">
        <x:f>100*D16/SUMIFS('Annual totals'!$C$2:$C$20,'Annual totals'!$A$2:$A$20,A16)</x:f>
        <x:v>1.4218614968897827</x:v>
      </x:c>
    </x:row>
    <x:row r="17" ht="23" customHeight="1">
      <x:c r="A17" s="4" t="n">
        <x:v>1921</x:v>
      </x:c>
      <x:c r="B17" s="14" t="str">
        <x:v>Austria</x:v>
      </x:c>
      <x:c r="C17" s="6" t="n">
        <x:v>7832</x:v>
      </x:c>
      <x:c r="D17" s="6" t="n">
        <x:v>1983</x:v>
      </x:c>
      <x:c r="E17" s="17" t="n">
        <x:f>C17-D17</x:f>
        <x:v>5849</x:v>
      </x:c>
      <x:c r="F17" s="53" t="n">
        <x:f>100*C17/SUMIFS('Annual totals'!$B$2:$B$20,'Annual totals'!$A$2:$A$20,A17)</x:f>
        <x:v>26.58700703286082</x:v>
      </x:c>
      <x:c r="G17" s="53" t="n">
        <x:f>100*D17/SUMIFS('Annual totals'!$C$2:$C$20,'Annual totals'!$A$2:$A$20,A17)</x:f>
        <x:v>8.372258212096025</x:v>
      </x:c>
    </x:row>
    <x:row r="18" ht="23" customHeight="1">
      <x:c r="A18" s="4" t="n">
        <x:v>1921</x:v>
      </x:c>
      <x:c r="B18" s="14" t="str">
        <x:v>Belgium and Luxembourg</x:v>
      </x:c>
      <x:c r="C18" s="6" t="n">
        <x:v>294</x:v>
      </x:c>
      <x:c r="D18" s="6" t="n">
        <x:v>447</x:v>
      </x:c>
      <x:c r="E18" s="17" t="n">
        <x:f>C18-D18</x:f>
        <x:v>-153</x:v>
      </x:c>
      <x:c r="F18" s="53" t="n">
        <x:f>100*C18/SUMIFS('Annual totals'!$B$2:$B$20,'Annual totals'!$A$2:$A$20,A18)</x:f>
        <x:v>0.9980311628780748</x:v>
      </x:c>
      <x:c r="G18" s="53" t="n">
        <x:f>100*D18/SUMIFS('Annual totals'!$C$2:$C$20,'Annual totals'!$A$2:$A$20,A18)</x:f>
        <x:v>1.8872412611230072</x:v>
      </x:c>
    </x:row>
    <x:row r="19" ht="23" customHeight="1">
      <x:c r="A19" s="4" t="n">
        <x:v>1921</x:v>
      </x:c>
      <x:c r="B19" s="14" t="str">
        <x:v>France</x:v>
      </x:c>
      <x:c r="C19" s="6" t="n">
        <x:v>1317</x:v>
      </x:c>
      <x:c r="D19" s="6" t="n">
        <x:v>639</x:v>
      </x:c>
      <x:c r="E19" s="17" t="n">
        <x:f>C19-D19</x:f>
        <x:v>678</x:v>
      </x:c>
      <x:c r="F19" s="53" t="n">
        <x:f>100*C19/SUMIFS('Annual totals'!$B$2:$B$20,'Annual totals'!$A$2:$A$20,A19)</x:f>
        <x:v>4.470772250035457</x:v>
      </x:c>
      <x:c r="G19" s="53" t="n">
        <x:f>100*D19/SUMIFS('Annual totals'!$C$2:$C$20,'Annual totals'!$A$2:$A$20,A19)</x:f>
        <x:v>2.6978683799946346</x:v>
      </x:c>
    </x:row>
    <x:row r="20" ht="23" customHeight="1">
      <x:c r="A20" s="4" t="n">
        <x:v>1921</x:v>
      </x:c>
      <x:c r="B20" s="14" t="str">
        <x:v>Germany</x:v>
      </x:c>
      <x:c r="C20" s="6" t="n">
        <x:v>4027</x:v>
      </x:c>
      <x:c r="D20" s="6" t="n">
        <x:v>5901</x:v>
      </x:c>
      <x:c r="E20" s="17" t="n">
        <x:f>C20-D20</x:f>
        <x:v>-1874</x:v>
      </x:c>
      <x:c r="F20" s="53" t="n">
        <x:f>100*C20/SUMIFS('Annual totals'!$B$2:$B$20,'Annual totals'!$A$2:$A$20,A20)</x:f>
        <x:v>13.670311200374174</x:v>
      </x:c>
      <x:c r="G20" s="53" t="n">
        <x:f>100*D20/SUMIFS('Annual totals'!$C$2:$C$20,'Annual totals'!$A$2:$A$20,A20)</x:f>
        <x:v>24.91411785657017</x:v>
      </x:c>
    </x:row>
    <x:row r="21" ht="23" customHeight="1">
      <x:c r="A21" s="4" t="n">
        <x:v>1921</x:v>
      </x:c>
      <x:c r="B21" s="14" t="str">
        <x:v>Hungary</x:v>
      </x:c>
      <x:c r="C21" s="6" t="n">
        <x:v>3066</x:v>
      </x:c>
      <x:c r="D21" s="6" t="n">
        <x:v>926</x:v>
      </x:c>
      <x:c r="E21" s="17" t="n">
        <x:f>C21-D21</x:f>
        <x:v>2140</x:v>
      </x:c>
      <x:c r="F21" s="53" t="n">
        <x:f>100*C21/SUMIFS('Annual totals'!$B$2:$B$20,'Annual totals'!$A$2:$A$20,A21)</x:f>
        <x:v>10.408039270014209</x:v>
      </x:c>
      <x:c r="G21" s="53" t="n">
        <x:f>100*D21/SUMIFS('Annual totals'!$C$2:$C$20,'Annual totals'!$A$2:$A$20,A21)</x:f>
        <x:v>3.9095870420579524</x:v>
      </x:c>
    </x:row>
    <x:row r="22" ht="23" customHeight="1">
      <x:c r="A22" s="4" t="n">
        <x:v>1921</x:v>
      </x:c>
      <x:c r="B22" s="14" t="str">
        <x:v>Italy</x:v>
      </x:c>
      <x:c r="C22" s="6" t="n">
        <x:v>921</x:v>
      </x:c>
      <x:c r="D22" s="6" t="n">
        <x:v>733</x:v>
      </x:c>
      <x:c r="E22" s="17" t="n">
        <x:f>C22-D22</x:f>
        <x:v>188</x:v>
      </x:c>
      <x:c r="F22" s="53" t="n">
        <x:f>100*C22/SUMIFS('Annual totals'!$B$2:$B$20,'Annual totals'!$A$2:$A$20,A22)</x:f>
        <x:v>3.1264853775874384</x:v>
      </x:c>
      <x:c r="G22" s="53" t="n">
        <x:f>100*D22/SUMIFS('Annual totals'!$C$2:$C$20,'Annual totals'!$A$2:$A$20,A22)</x:f>
        <x:v>3.094737906942202</x:v>
      </x:c>
    </x:row>
    <x:row r="23" ht="23" customHeight="1">
      <x:c r="A23" s="4" t="n">
        <x:v>1921</x:v>
      </x:c>
      <x:c r="B23" s="14" t="str">
        <x:v>Netherlands</x:v>
      </x:c>
      <x:c r="C23" s="6" t="n">
        <x:v>567</x:v>
      </x:c>
      <x:c r="D23" s="6" t="n">
        <x:v>1106</x:v>
      </x:c>
      <x:c r="E23" s="17" t="n">
        <x:f>C23-D23</x:f>
        <x:v>-539</x:v>
      </x:c>
      <x:c r="F23" s="53" t="n">
        <x:f>100*C23/SUMIFS('Annual totals'!$B$2:$B$20,'Annual totals'!$A$2:$A$20,A23)</x:f>
        <x:v>1.9247743855505728</x:v>
      </x:c>
      <x:c r="G23" s="53" t="n">
        <x:f>100*D23/SUMIFS('Annual totals'!$C$2:$C$20,'Annual totals'!$A$2:$A$20,A23)</x:f>
        <x:v>4.669549966000103</x:v>
      </x:c>
    </x:row>
    <x:row r="24" ht="23" customHeight="1">
      <x:c r="A24" s="4" t="n">
        <x:v>1921</x:v>
      </x:c>
      <x:c r="B24" s="14" t="str">
        <x:v>Poland</x:v>
      </x:c>
      <x:c r="C24" s="6" t="n">
        <x:v>1424</x:v>
      </x:c>
      <x:c r="D24" s="6" t="n">
        <x:v>384</x:v>
      </x:c>
      <x:c r="E24" s="17" t="n">
        <x:f>C24-D24</x:f>
        <x:v>1040</x:v>
      </x:c>
      <x:c r="F24" s="53" t="n">
        <x:f>100*C24/SUMIFS('Annual totals'!$B$2:$B$20,'Annual totals'!$A$2:$A$20,A24)</x:f>
        <x:v>4.834001278701968</x:v>
      </x:c>
      <x:c r="G24" s="53" t="n">
        <x:f>100*D24/SUMIFS('Annual totals'!$C$2:$C$20,'Annual totals'!$A$2:$A$20,A24)</x:f>
        <x:v>1.6212542377432546</x:v>
      </x:c>
    </x:row>
    <x:row r="25" ht="23" customHeight="1">
      <x:c r="A25" s="4" t="n">
        <x:v>1921</x:v>
      </x:c>
      <x:c r="B25" s="14" t="str">
        <x:v>Romania</x:v>
      </x:c>
      <x:c r="C25" s="6" t="n">
        <x:v>1175</x:v>
      </x:c>
      <x:c r="D25" s="6" t="n">
        <x:v>482</x:v>
      </x:c>
      <x:c r="E25" s="17" t="n">
        <x:f>C25-D25</x:f>
        <x:v>693</x:v>
      </x:c>
      <x:c r="F25" s="53" t="n">
        <x:f>100*C25/SUMIFS('Annual totals'!$B$2:$B$20,'Annual totals'!$A$2:$A$20,A25)</x:f>
        <x:v>3.988729987692986</x:v>
      </x:c>
      <x:c r="G25" s="53" t="n">
        <x:f>100*D25/SUMIFS('Annual totals'!$C$2:$C$20,'Annual totals'!$A$2:$A$20,A25)</x:f>
        <x:v>2.0350118296673143</x:v>
      </x:c>
    </x:row>
    <x:row r="26" ht="23" customHeight="1">
      <x:c r="A26" s="4" t="n">
        <x:v>1921</x:v>
      </x:c>
      <x:c r="B26" s="14" t="str">
        <x:v>Sweden</x:v>
      </x:c>
      <x:c r="C26" s="6" t="n">
        <x:v>107</x:v>
      </x:c>
      <x:c r="D26" s="6" t="n">
        <x:v>76</x:v>
      </x:c>
      <x:c r="E26" s="17" t="n">
        <x:f>C26-D26</x:f>
        <x:v>31</x:v>
      </x:c>
      <x:c r="F26" s="53" t="n">
        <x:f>100*C26/SUMIFS('Annual totals'!$B$2:$B$20,'Annual totals'!$A$2:$A$20,A26)</x:f>
        <x:v>0.3632290286665102</x:v>
      </x:c>
      <x:c r="G26" s="53" t="n">
        <x:f>100*D26/SUMIFS('Annual totals'!$C$2:$C$20,'Annual totals'!$A$2:$A$20,A26)</x:f>
        <x:v>0.3208732345533525</x:v>
      </x:c>
    </x:row>
    <x:row r="27" ht="23" customHeight="1">
      <x:c r="A27" s="4" t="n">
        <x:v>1921</x:v>
      </x:c>
      <x:c r="B27" s="14" t="str">
        <x:v>Switzerland</x:v>
      </x:c>
      <x:c r="C27" s="6" t="n">
        <x:v>520</x:v>
      </x:c>
      <x:c r="D27" s="6" t="n">
        <x:v>316</x:v>
      </x:c>
      <x:c r="E27" s="17" t="n">
        <x:f>C27-D27</x:f>
        <x:v>204</x:v>
      </x:c>
      <x:c r="F27" s="53" t="n">
        <x:f>100*C27/SUMIFS('Annual totals'!$B$2:$B$20,'Annual totals'!$A$2:$A$20,A27)</x:f>
        <x:v>1.7652251860428534</x:v>
      </x:c>
      <x:c r="G27" s="53" t="n">
        <x:f>100*D27/SUMIFS('Annual totals'!$C$2:$C$20,'Annual totals'!$A$2:$A$20,A27)</x:f>
        <x:v>1.3341571331428865</x:v>
      </x:c>
    </x:row>
    <x:row r="28" ht="23" customHeight="1">
      <x:c r="A28" s="4" t="n">
        <x:v>1921</x:v>
      </x:c>
      <x:c r="B28" s="14" t="str">
        <x:v>USSR</x:v>
      </x:c>
      <x:c r="C28" s="6" t="n">
        <x:v>133</x:v>
      </x:c>
      <x:c r="D28" s="6" t="n">
        <x:v>72</x:v>
      </x:c>
      <x:c r="E28" s="17" t="n">
        <x:f>C28-D28</x:f>
        <x:v>61</x:v>
      </x:c>
      <x:c r="F28" s="53" t="n">
        <x:f>100*C28/SUMIFS('Annual totals'!$B$2:$B$20,'Annual totals'!$A$2:$A$20,A28)</x:f>
        <x:v>0.45149028796865287</x:v>
      </x:c>
      <x:c r="G28" s="53" t="n">
        <x:f>100*D28/SUMIFS('Annual totals'!$C$2:$C$20,'Annual totals'!$A$2:$A$20,A28)</x:f>
        <x:v>0.3039851695768602</x:v>
      </x:c>
    </x:row>
    <x:row r="29" ht="23" customHeight="1">
      <x:c r="A29" s="4" t="n">
        <x:v>1921</x:v>
      </x:c>
      <x:c r="B29" s="14" t="str">
        <x:v>United Kingdom</x:v>
      </x:c>
      <x:c r="C29" s="6" t="n">
        <x:v>2104</x:v>
      </x:c>
      <x:c r="D29" s="6" t="n">
        <x:v>1342</x:v>
      </x:c>
      <x:c r="E29" s="17" t="n">
        <x:f>C29-D29</x:f>
        <x:v>762</x:v>
      </x:c>
      <x:c r="F29" s="53" t="n">
        <x:f>100*C29/SUMIFS('Annual totals'!$B$2:$B$20,'Annual totals'!$A$2:$A$20,A29)</x:f>
        <x:v>7.142372675834929</x:v>
      </x:c>
      <x:c r="G29" s="53" t="n">
        <x:f>100*D29/SUMIFS('Annual totals'!$C$2:$C$20,'Annual totals'!$A$2:$A$20,A29)</x:f>
        <x:v>5.665945799613144</x:v>
      </x:c>
    </x:row>
    <x:row r="30" ht="23" customHeight="1">
      <x:c r="A30" s="4" t="n">
        <x:v>1921</x:v>
      </x:c>
      <x:c r="B30" s="14" t="str">
        <x:v>United States</x:v>
      </x:c>
      <x:c r="C30" s="6" t="n">
        <x:v>770.798</x:v>
      </x:c>
      <x:c r="D30" s="6" t="n">
        <x:v>4547</x:v>
      </x:c>
      <x:c r="E30" s="17" t="n">
        <x:f>C30-D30</x:f>
        <x:v>-3776.202</x:v>
      </x:c>
      <x:c r="F30" s="53" t="n">
        <x:f>100*C30/SUMIFS('Annual totals'!$B$2:$B$20,'Annual totals'!$A$2:$A$20,A30)</x:f>
        <x:v>2.61660008259896</x:v>
      </x:c>
      <x:c r="G30" s="53" t="n">
        <x:f>100*D30/SUMIFS('Annual totals'!$C$2:$C$20,'Annual totals'!$A$2:$A$20,A30)</x:f>
        <x:v>19.197507862027546</x:v>
      </x:c>
    </x:row>
    <x:row r="31" ht="23" customHeight="1">
      <x:c r="A31" s="4" t="n">
        <x:v>1921</x:v>
      </x:c>
      <x:c r="B31" s="14" t="str">
        <x:v>Yugoslavia</x:v>
      </x:c>
      <x:c r="C31" s="6" t="n">
        <x:v>2008</x:v>
      </x:c>
      <x:c r="D31" s="6" t="n">
        <x:v>367</x:v>
      </x:c>
      <x:c r="E31" s="17" t="n">
        <x:f>C31-D31</x:f>
        <x:v>1641</x:v>
      </x:c>
      <x:c r="F31" s="53" t="n">
        <x:f>100*C31/SUMIFS('Annual totals'!$B$2:$B$20,'Annual totals'!$A$2:$A$20,A31)</x:f>
        <x:v>6.816484949180865</x:v>
      </x:c>
      <x:c r="G31" s="53" t="n">
        <x:f>100*D31/SUMIFS('Annual totals'!$C$2:$C$20,'Annual totals'!$A$2:$A$20,A31)</x:f>
        <x:v>1.5494799615931625</x:v>
      </x:c>
    </x:row>
    <x:row r="32" ht="23" customHeight="1">
      <x:c r="A32" s="4" t="n">
        <x:v>1922</x:v>
      </x:c>
      <x:c r="B32" s="14" t="str">
        <x:v>Austria</x:v>
      </x:c>
      <x:c r="C32" s="6" t="n">
        <x:v>3969</x:v>
      </x:c>
      <x:c r="D32" s="6" t="n">
        <x:v>986</x:v>
      </x:c>
      <x:c r="E32" s="17" t="n">
        <x:f>C32-D32</x:f>
        <x:v>2983</x:v>
      </x:c>
      <x:c r="F32" s="53" t="n">
        <x:f>100*C32/SUMIFS('Annual totals'!$B$2:$B$20,'Annual totals'!$A$2:$A$20,A32)</x:f>
        <x:v>20.21609781025891</x:v>
      </x:c>
      <x:c r="G32" s="53" t="n">
        <x:f>100*D32/SUMIFS('Annual totals'!$C$2:$C$20,'Annual totals'!$A$2:$A$20,A32)</x:f>
        <x:v>7.315832269779996</x:v>
      </x:c>
    </x:row>
    <x:row r="33" ht="23" customHeight="1">
      <x:c r="A33" s="4" t="n">
        <x:v>1922</x:v>
      </x:c>
      <x:c r="B33" s="14" t="str">
        <x:v>Belgium and Luxembourg</x:v>
      </x:c>
      <x:c r="C33" s="6" t="n">
        <x:v>295</x:v>
      </x:c>
      <x:c r="D33" s="6" t="n">
        <x:v>228</x:v>
      </x:c>
      <x:c r="E33" s="17" t="n">
        <x:f>C33-D33</x:f>
        <x:v>67</x:v>
      </x:c>
      <x:c r="F33" s="53" t="n">
        <x:f>100*C33/SUMIFS('Annual totals'!$B$2:$B$20,'Annual totals'!$A$2:$A$20,A33)</x:f>
        <x:v>1.5025822257562051</x:v>
      </x:c>
      <x:c r="G33" s="53" t="n">
        <x:f>100*D33/SUMIFS('Annual totals'!$C$2:$C$20,'Annual totals'!$A$2:$A$20,A33)</x:f>
        <x:v>1.6916934660343195</x:v>
      </x:c>
    </x:row>
    <x:row r="34" ht="23" customHeight="1">
      <x:c r="A34" s="4" t="n">
        <x:v>1922</x:v>
      </x:c>
      <x:c r="B34" s="14" t="str">
        <x:v>France</x:v>
      </x:c>
      <x:c r="C34" s="6" t="n">
        <x:v>868</x:v>
      </x:c>
      <x:c r="D34" s="6" t="n">
        <x:v>445</x:v>
      </x:c>
      <x:c r="E34" s="17" t="n">
        <x:f>C34-D34</x:f>
        <x:v>423</x:v>
      </x:c>
      <x:c r="F34" s="53" t="n">
        <x:f>100*C34/SUMIFS('Annual totals'!$B$2:$B$20,'Annual totals'!$A$2:$A$20,A34)</x:f>
        <x:v>4.421157193072495</x:v>
      </x:c>
      <x:c r="G34" s="53" t="n">
        <x:f>100*D34/SUMIFS('Annual totals'!$C$2:$C$20,'Annual totals'!$A$2:$A$20,A34)</x:f>
        <x:v>3.3017701420406675</x:v>
      </x:c>
    </x:row>
    <x:row r="35" ht="23" customHeight="1">
      <x:c r="A35" s="4" t="n">
        <x:v>1922</x:v>
      </x:c>
      <x:c r="B35" s="14" t="str">
        <x:v>Germany</x:v>
      </x:c>
      <x:c r="C35" s="6" t="n">
        <x:v>4114</x:v>
      </x:c>
      <x:c r="D35" s="6" t="n">
        <x:v>3591</x:v>
      </x:c>
      <x:c r="E35" s="17" t="n">
        <x:f>C35-D35</x:f>
        <x:v>523</x:v>
      </x:c>
      <x:c r="F35" s="53" t="n">
        <x:f>100*C35/SUMIFS('Annual totals'!$B$2:$B$20,'Annual totals'!$A$2:$A$20,A35)</x:f>
        <x:v>20.954655175461113</x:v>
      </x:c>
      <x:c r="G35" s="53" t="n">
        <x:f>100*D35/SUMIFS('Annual totals'!$C$2:$C$20,'Annual totals'!$A$2:$A$20,A35)</x:f>
        <x:v>26.64417209004053</x:v>
      </x:c>
    </x:row>
    <x:row r="36" ht="23" customHeight="1">
      <x:c r="A36" s="4" t="n">
        <x:v>1922</x:v>
      </x:c>
      <x:c r="B36" s="14" t="str">
        <x:v>Hungary</x:v>
      </x:c>
      <x:c r="C36" s="6" t="n">
        <x:v>1589</x:v>
      </x:c>
      <x:c r="D36" s="6" t="n">
        <x:v>684</x:v>
      </x:c>
      <x:c r="E36" s="17" t="n">
        <x:f>C36-D36</x:f>
        <x:v>905</x:v>
      </x:c>
      <x:c r="F36" s="53" t="n">
        <x:f>100*C36/SUMIFS('Annual totals'!$B$2:$B$20,'Annual totals'!$A$2:$A$20,A36)</x:f>
        <x:v>8.093570022802067</x:v>
      </x:c>
      <x:c r="G36" s="53" t="n">
        <x:f>100*D36/SUMIFS('Annual totals'!$C$2:$C$20,'Annual totals'!$A$2:$A$20,A36)</x:f>
        <x:v>5.075080398102958</x:v>
      </x:c>
    </x:row>
    <x:row r="37" ht="23" customHeight="1">
      <x:c r="A37" s="4" t="n">
        <x:v>1922</x:v>
      </x:c>
      <x:c r="B37" s="14" t="str">
        <x:v>Italy</x:v>
      </x:c>
      <x:c r="C37" s="6" t="n">
        <x:v>663</x:v>
      </x:c>
      <x:c r="D37" s="6" t="n">
        <x:v>296</x:v>
      </x:c>
      <x:c r="E37" s="17" t="n">
        <x:f>C37-D37</x:f>
        <x:v>367</x:v>
      </x:c>
      <x:c r="F37" s="53" t="n">
        <x:f>100*C37/SUMIFS('Annual totals'!$B$2:$B$20,'Annual totals'!$A$2:$A$20,A37)</x:f>
        <x:v>3.3769898836486916</x:v>
      </x:c>
      <x:c r="G37" s="53" t="n">
        <x:f>100*D37/SUMIFS('Annual totals'!$C$2:$C$20,'Annual totals'!$A$2:$A$20,A37)</x:f>
        <x:v>2.1962336225708707</x:v>
      </x:c>
    </x:row>
    <x:row r="38" ht="23" customHeight="1">
      <x:c r="A38" s="4" t="n">
        <x:v>1922</x:v>
      </x:c>
      <x:c r="B38" s="14" t="str">
        <x:v>Netherlands</x:v>
      </x:c>
      <x:c r="C38" s="6" t="n">
        <x:v>403</x:v>
      </x:c>
      <x:c r="D38" s="6" t="n">
        <x:v>428</x:v>
      </x:c>
      <x:c r="E38" s="17" t="n">
        <x:f>C38-D38</x:f>
        <x:v>-25</x:v>
      </x:c>
      <x:c r="F38" s="53" t="n">
        <x:f>100*C38/SUMIFS('Annual totals'!$B$2:$B$20,'Annual totals'!$A$2:$A$20,A38)</x:f>
        <x:v>2.0526801253550873</x:v>
      </x:c>
      <x:c r="G38" s="53" t="n">
        <x:f>100*D38/SUMIFS('Annual totals'!$C$2:$C$20,'Annual totals'!$A$2:$A$20,A38)</x:f>
        <x:v>3.1756351029065297</x:v>
      </x:c>
    </x:row>
    <x:row r="39" ht="23" customHeight="1">
      <x:c r="A39" s="4" t="n">
        <x:v>1922</x:v>
      </x:c>
      <x:c r="B39" s="14" t="str">
        <x:v>Poland</x:v>
      </x:c>
      <x:c r="C39" s="6" t="n">
        <x:v>605</x:v>
      </x:c>
      <x:c r="D39" s="6" t="n">
        <x:v>324</x:v>
      </x:c>
      <x:c r="E39" s="17" t="n">
        <x:f>C39-D39</x:f>
        <x:v>281</x:v>
      </x:c>
      <x:c r="F39" s="53" t="n">
        <x:f>100*C39/SUMIFS('Annual totals'!$B$2:$B$20,'Annual totals'!$A$2:$A$20,A39)</x:f>
        <x:v>3.0815669375678105</x:v>
      </x:c>
      <x:c r="G39" s="53" t="n">
        <x:f>100*D39/SUMIFS('Annual totals'!$C$2:$C$20,'Annual totals'!$A$2:$A$20,A39)</x:f>
        <x:v>2.4039854517329804</x:v>
      </x:c>
    </x:row>
    <x:row r="40" ht="23" customHeight="1">
      <x:c r="A40" s="4" t="n">
        <x:v>1922</x:v>
      </x:c>
      <x:c r="B40" s="14" t="str">
        <x:v>Romania</x:v>
      </x:c>
      <x:c r="C40" s="6" t="n">
        <x:v>523</x:v>
      </x:c>
      <x:c r="D40" s="6" t="n">
        <x:v>430</x:v>
      </x:c>
      <x:c r="E40" s="17" t="n">
        <x:f>C40-D40</x:f>
        <x:v>93</x:v>
      </x:c>
      <x:c r="F40" s="53" t="n">
        <x:f>100*C40/SUMIFS('Annual totals'!$B$2:$B$20,'Annual totals'!$A$2:$A$20,A40)</x:f>
        <x:v>2.663900013798289</x:v>
      </x:c>
      <x:c r="G40" s="53" t="n">
        <x:f>100*D40/SUMIFS('Annual totals'!$C$2:$C$20,'Annual totals'!$A$2:$A$20,A40)</x:f>
        <x:v>3.1904745192752517</x:v>
      </x:c>
    </x:row>
    <x:row r="41" ht="23" customHeight="1">
      <x:c r="A41" s="4" t="n">
        <x:v>1922</x:v>
      </x:c>
      <x:c r="B41" s="14" t="str">
        <x:v>Sweden</x:v>
      </x:c>
      <x:c r="C41" s="6" t="n">
        <x:v>154</x:v>
      </x:c>
      <x:c r="D41" s="6" t="n">
        <x:v>46</x:v>
      </x:c>
      <x:c r="E41" s="17" t="n">
        <x:f>C41-D41</x:f>
        <x:v>108</x:v>
      </x:c>
      <x:c r="F41" s="53" t="n">
        <x:f>100*C41/SUMIFS('Annual totals'!$B$2:$B$20,'Annual totals'!$A$2:$A$20,A41)</x:f>
        <x:v>0.7843988568354427</x:v>
      </x:c>
      <x:c r="G41" s="53" t="n">
        <x:f>100*D41/SUMIFS('Annual totals'!$C$2:$C$20,'Annual totals'!$A$2:$A$20,A41)</x:f>
        <x:v>0.3413065764806083</x:v>
      </x:c>
    </x:row>
    <x:row r="42" ht="23" customHeight="1">
      <x:c r="A42" s="4" t="n">
        <x:v>1922</x:v>
      </x:c>
      <x:c r="B42" s="14" t="str">
        <x:v>Switzerland</x:v>
      </x:c>
      <x:c r="C42" s="6" t="n">
        <x:v>285</x:v>
      </x:c>
      <x:c r="D42" s="6" t="n">
        <x:v>169</x:v>
      </x:c>
      <x:c r="E42" s="17" t="n">
        <x:f>C42-D42</x:f>
        <x:v>116</x:v>
      </x:c>
      <x:c r="F42" s="53" t="n">
        <x:f>100*C42/SUMIFS('Annual totals'!$B$2:$B$20,'Annual totals'!$A$2:$A$20,A42)</x:f>
        <x:v>1.451647235052605</x:v>
      </x:c>
      <x:c r="G42" s="53" t="n">
        <x:f>100*D42/SUMIFS('Annual totals'!$C$2:$C$20,'Annual totals'!$A$2:$A$20,A42)</x:f>
        <x:v>1.2539306831570176</x:v>
      </x:c>
    </x:row>
    <x:row r="43" ht="23" customHeight="1">
      <x:c r="A43" s="4" t="n">
        <x:v>1922</x:v>
      </x:c>
      <x:c r="B43" s="14" t="str">
        <x:v>USSR</x:v>
      </x:c>
      <x:c r="C43" s="6" t="n">
        <x:v>93</x:v>
      </x:c>
      <x:c r="D43" s="6" t="n">
        <x:v>21</x:v>
      </x:c>
      <x:c r="E43" s="17" t="n">
        <x:f>C43-D43</x:f>
        <x:v>72</x:v>
      </x:c>
      <x:c r="F43" s="53" t="n">
        <x:f>100*C43/SUMIFS('Annual totals'!$B$2:$B$20,'Annual totals'!$A$2:$A$20,A43)</x:f>
        <x:v>0.4736954135434816</x:v>
      </x:c>
      <x:c r="G43" s="53" t="n">
        <x:f>100*D43/SUMIFS('Annual totals'!$C$2:$C$20,'Annual totals'!$A$2:$A$20,A43)</x:f>
        <x:v>0.15581387187158205</x:v>
      </x:c>
    </x:row>
    <x:row r="44" ht="23" customHeight="1">
      <x:c r="A44" s="4" t="n">
        <x:v>1922</x:v>
      </x:c>
      <x:c r="B44" s="14" t="str">
        <x:v>United Kingdom</x:v>
      </x:c>
      <x:c r="C44" s="6" t="n">
        <x:v>1347</x:v>
      </x:c>
      <x:c r="D44" s="6" t="n">
        <x:v>652</x:v>
      </x:c>
      <x:c r="E44" s="17" t="n">
        <x:f>C44-D44</x:f>
        <x:v>695</x:v>
      </x:c>
      <x:c r="F44" s="53" t="n">
        <x:f>100*C44/SUMIFS('Annual totals'!$B$2:$B$20,'Annual totals'!$A$2:$A$20,A44)</x:f>
        <x:v>6.8609432477749435</x:v>
      </x:c>
      <x:c r="G44" s="53" t="n">
        <x:f>100*D44/SUMIFS('Annual totals'!$C$2:$C$20,'Annual totals'!$A$2:$A$20,A44)</x:f>
        <x:v>4.837649736203405</x:v>
      </x:c>
    </x:row>
    <x:row r="45" ht="23" customHeight="1">
      <x:c r="A45" s="4" t="n">
        <x:v>1922</x:v>
      </x:c>
      <x:c r="B45" s="14" t="str">
        <x:v>United States</x:v>
      </x:c>
      <x:c r="C45" s="6" t="n">
        <x:v>931.572</x:v>
      </x:c>
      <x:c r="D45" s="6" t="n">
        <x:v>2286</x:v>
      </x:c>
      <x:c r="E45" s="17" t="n">
        <x:f>C45-D45</x:f>
        <x:v>-1354.4279999999999</x:v>
      </x:c>
      <x:c r="F45" s="53" t="n">
        <x:f>100*C45/SUMIFS('Annual totals'!$B$2:$B$20,'Annual totals'!$A$2:$A$20,A45)</x:f>
        <x:v>4.744961115973422</x:v>
      </x:c>
      <x:c r="G45" s="53" t="n">
        <x:f>100*D45/SUMIFS('Annual totals'!$C$2:$C$20,'Annual totals'!$A$2:$A$20,A45)</x:f>
        <x:v>16.96145290944936</x:v>
      </x:c>
    </x:row>
    <x:row r="46" ht="23" customHeight="1">
      <x:c r="A46" s="4" t="n">
        <x:v>1922</x:v>
      </x:c>
      <x:c r="B46" s="14" t="str">
        <x:v>Yugoslavia</x:v>
      </x:c>
      <x:c r="C46" s="6" t="n">
        <x:v>782</x:v>
      </x:c>
      <x:c r="D46" s="6" t="n">
        <x:v>268</x:v>
      </x:c>
      <x:c r="E46" s="17" t="n">
        <x:f>C46-D46</x:f>
        <x:v>514</x:v>
      </x:c>
      <x:c r="F46" s="53" t="n">
        <x:f>100*C46/SUMIFS('Annual totals'!$B$2:$B$20,'Annual totals'!$A$2:$A$20,A46)</x:f>
        <x:v>3.9831162730215337</x:v>
      </x:c>
      <x:c r="G46" s="53" t="n">
        <x:f>100*D46/SUMIFS('Annual totals'!$C$2:$C$20,'Annual totals'!$A$2:$A$20,A46)</x:f>
        <x:v>1.9884817934087615</x:v>
      </x:c>
    </x:row>
    <x:row r="47" ht="23" customHeight="1">
      <x:c r="A47" s="4" t="n">
        <x:v>1923</x:v>
      </x:c>
      <x:c r="B47" s="14" t="str">
        <x:v>Austria</x:v>
      </x:c>
      <x:c r="C47" s="6" t="n">
        <x:v>2639</x:v>
      </x:c>
      <x:c r="D47" s="6" t="n">
        <x:v>667</x:v>
      </x:c>
      <x:c r="E47" s="17" t="n">
        <x:f>C47-D47</x:f>
        <x:v>1972</x:v>
      </x:c>
      <x:c r="F47" s="53" t="n">
        <x:f>100*C47/SUMIFS('Annual totals'!$B$2:$B$20,'Annual totals'!$A$2:$A$20,A47)</x:f>
        <x:v>18.981061518202974</x:v>
      </x:c>
      <x:c r="G47" s="53" t="n">
        <x:f>100*D47/SUMIFS('Annual totals'!$C$2:$C$20,'Annual totals'!$A$2:$A$20,A47)</x:f>
        <x:v>6.164002006488929</x:v>
      </x:c>
    </x:row>
    <x:row r="48" ht="23" customHeight="1">
      <x:c r="A48" s="4" t="n">
        <x:v>1923</x:v>
      </x:c>
      <x:c r="B48" s="14" t="str">
        <x:v>Belgium and Luxembourg</x:v>
      </x:c>
      <x:c r="C48" s="6" t="n">
        <x:v>97</x:v>
      </x:c>
      <x:c r="D48" s="6" t="n">
        <x:v>80</x:v>
      </x:c>
      <x:c r="E48" s="17" t="n">
        <x:f>C48-D48</x:f>
        <x:v>17</x:v>
      </x:c>
      <x:c r="F48" s="53" t="n">
        <x:f>100*C48/SUMIFS('Annual totals'!$B$2:$B$20,'Annual totals'!$A$2:$A$20,A48)</x:f>
        <x:v>0.6976744855118183</x:v>
      </x:c>
      <x:c r="G48" s="53" t="n">
        <x:f>100*D48/SUMIFS('Annual totals'!$C$2:$C$20,'Annual totals'!$A$2:$A$20,A48)</x:f>
        <x:v>0.7393105854859285</x:v>
      </x:c>
    </x:row>
    <x:row r="49" ht="23" customHeight="1">
      <x:c r="A49" s="4" t="n">
        <x:v>1923</x:v>
      </x:c>
      <x:c r="B49" s="14" t="str">
        <x:v>France</x:v>
      </x:c>
      <x:c r="C49" s="6" t="n">
        <x:v>303</x:v>
      </x:c>
      <x:c r="D49" s="6" t="n">
        <x:v>354</x:v>
      </x:c>
      <x:c r="E49" s="17" t="n">
        <x:f>C49-D49</x:f>
        <x:v>-51</x:v>
      </x:c>
      <x:c r="F49" s="53" t="n">
        <x:f>100*C49/SUMIFS('Annual totals'!$B$2:$B$20,'Annual totals'!$A$2:$A$20,A49)</x:f>
        <x:v>2.179333702165783</x:v>
      </x:c>
      <x:c r="G49" s="53" t="n">
        <x:f>100*D49/SUMIFS('Annual totals'!$C$2:$C$20,'Annual totals'!$A$2:$A$20,A49)</x:f>
        <x:v>3.271449340775234</x:v>
      </x:c>
    </x:row>
    <x:row r="50" ht="23" customHeight="1">
      <x:c r="A50" s="4" t="n">
        <x:v>1923</x:v>
      </x:c>
      <x:c r="B50" s="14" t="str">
        <x:v>Germany</x:v>
      </x:c>
      <x:c r="C50" s="6" t="n">
        <x:v>3203</x:v>
      </x:c>
      <x:c r="D50" s="6" t="n">
        <x:v>4423</x:v>
      </x:c>
      <x:c r="E50" s="17" t="n">
        <x:f>C50-D50</x:f>
        <x:v>-1220</x:v>
      </x:c>
      <x:c r="F50" s="53" t="n">
        <x:f>100*C50/SUMIFS('Annual totals'!$B$2:$B$20,'Annual totals'!$A$2:$A$20,A50)</x:f>
        <x:v>23.03764306282839</x:v>
      </x:c>
      <x:c r="G50" s="53" t="n">
        <x:f>100*D50/SUMIFS('Annual totals'!$C$2:$C$20,'Annual totals'!$A$2:$A$20,A50)</x:f>
        <x:v>40.87463399505327</x:v>
      </x:c>
    </x:row>
    <x:row r="51" ht="23" customHeight="1">
      <x:c r="A51" s="4" t="n">
        <x:v>1923</x:v>
      </x:c>
      <x:c r="B51" s="14" t="str">
        <x:v>Hungary</x:v>
      </x:c>
      <x:c r="C51" s="6" t="n">
        <x:v>714</x:v>
      </x:c>
      <x:c r="D51" s="6" t="n">
        <x:v>353</x:v>
      </x:c>
      <x:c r="E51" s="17" t="n">
        <x:f>C51-D51</x:f>
        <x:v>361</x:v>
      </x:c>
      <x:c r="F51" s="53" t="n">
        <x:f>100*C51/SUMIFS('Annual totals'!$B$2:$B$20,'Annual totals'!$A$2:$A$20,A51)</x:f>
        <x:v>5.135459615004518</x:v>
      </x:c>
      <x:c r="G51" s="53" t="n">
        <x:f>100*D51/SUMIFS('Annual totals'!$C$2:$C$20,'Annual totals'!$A$2:$A$20,A51)</x:f>
        <x:v>3.2622079584566595</x:v>
      </x:c>
    </x:row>
    <x:row r="52" ht="23" customHeight="1">
      <x:c r="A52" s="4" t="n">
        <x:v>1923</x:v>
      </x:c>
      <x:c r="B52" s="14" t="str">
        <x:v>Italy</x:v>
      </x:c>
      <x:c r="C52" s="6" t="n">
        <x:v>464</x:v>
      </x:c>
      <x:c r="D52" s="6" t="n">
        <x:v>463</x:v>
      </x:c>
      <x:c r="E52" s="17" t="n">
        <x:f>C52-D52</x:f>
        <x:v>1</x:v>
      </x:c>
      <x:c r="F52" s="53" t="n">
        <x:f>100*C52/SUMIFS('Annual totals'!$B$2:$B$20,'Annual totals'!$A$2:$A$20,A52)</x:f>
        <x:v>3.3373294977060173</x:v>
      </x:c>
      <x:c r="G52" s="53" t="n">
        <x:f>100*D52/SUMIFS('Annual totals'!$C$2:$C$20,'Annual totals'!$A$2:$A$20,A52)</x:f>
        <x:v>4.278760013499811</x:v>
      </x:c>
    </x:row>
    <x:row r="53" ht="23" customHeight="1">
      <x:c r="A53" s="4" t="n">
        <x:v>1923</x:v>
      </x:c>
      <x:c r="B53" s="14" t="str">
        <x:v>Netherlands</x:v>
      </x:c>
      <x:c r="C53" s="6" t="n">
        <x:v>233</x:v>
      </x:c>
      <x:c r="D53" s="6" t="n">
        <x:v>416</x:v>
      </x:c>
      <x:c r="E53" s="17" t="n">
        <x:f>C53-D53</x:f>
        <x:v>-183</x:v>
      </x:c>
      <x:c r="F53" s="53" t="n">
        <x:f>100*C53/SUMIFS('Annual totals'!$B$2:$B$20,'Annual totals'!$A$2:$A$20,A53)</x:f>
        <x:v>1.6758572693222027</x:v>
      </x:c>
      <x:c r="G53" s="53" t="n">
        <x:f>100*D53/SUMIFS('Annual totals'!$C$2:$C$20,'Annual totals'!$A$2:$A$20,A53)</x:f>
        <x:v>3.844415044526828</x:v>
      </x:c>
    </x:row>
    <x:row r="54" ht="23" customHeight="1">
      <x:c r="A54" s="4" t="n">
        <x:v>1923</x:v>
      </x:c>
      <x:c r="B54" s="14" t="str">
        <x:v>Poland</x:v>
      </x:c>
      <x:c r="C54" s="6" t="n">
        <x:v>359</x:v>
      </x:c>
      <x:c r="D54" s="6" t="n">
        <x:v>376</x:v>
      </x:c>
      <x:c r="E54" s="17" t="n">
        <x:f>C54-D54</x:f>
        <x:v>-17</x:v>
      </x:c>
      <x:c r="F54" s="53" t="n">
        <x:f>100*C54/SUMIFS('Annual totals'!$B$2:$B$20,'Annual totals'!$A$2:$A$20,A54)</x:f>
        <x:v>2.5821148484406473</x:v>
      </x:c>
      <x:c r="G54" s="53" t="n">
        <x:f>100*D54/SUMIFS('Annual totals'!$C$2:$C$20,'Annual totals'!$A$2:$A$20,A54)</x:f>
        <x:v>3.474759751783864</x:v>
      </x:c>
    </x:row>
    <x:row r="55" ht="23" customHeight="1">
      <x:c r="A55" s="4" t="n">
        <x:v>1923</x:v>
      </x:c>
      <x:c r="B55" s="14" t="str">
        <x:v>Romania</x:v>
      </x:c>
      <x:c r="C55" s="6" t="n">
        <x:v>405</x:v>
      </x:c>
      <x:c r="D55" s="6" t="n">
        <x:v>186</x:v>
      </x:c>
      <x:c r="E55" s="17" t="n">
        <x:f>C55-D55</x:f>
        <x:v>219</x:v>
      </x:c>
      <x:c r="F55" s="53" t="n">
        <x:f>100*C55/SUMIFS('Annual totals'!$B$2:$B$20,'Annual totals'!$A$2:$A$20,A55)</x:f>
        <x:v>2.912970790023571</x:v>
      </x:c>
      <x:c r="G55" s="53" t="n">
        <x:f>100*D55/SUMIFS('Annual totals'!$C$2:$C$20,'Annual totals'!$A$2:$A$20,A55)</x:f>
        <x:v>1.7188971112547837</x:v>
      </x:c>
    </x:row>
    <x:row r="56" ht="23" customHeight="1">
      <x:c r="A56" s="4" t="n">
        <x:v>1923</x:v>
      </x:c>
      <x:c r="B56" s="14" t="str">
        <x:v>Sweden</x:v>
      </x:c>
      <x:c r="C56" s="6" t="n">
        <x:v>140</x:v>
      </x:c>
      <x:c r="D56" s="6" t="n">
        <x:v>207</x:v>
      </x:c>
      <x:c r="E56" s="17" t="n">
        <x:f>C56-D56</x:f>
        <x:v>-67</x:v>
      </x:c>
      <x:c r="F56" s="53" t="n">
        <x:f>100*C56/SUMIFS('Annual totals'!$B$2:$B$20,'Annual totals'!$A$2:$A$20,A56)</x:f>
        <x:v>1.0069528656871605</x:v>
      </x:c>
      <x:c r="G56" s="53" t="n">
        <x:f>100*D56/SUMIFS('Annual totals'!$C$2:$C$20,'Annual totals'!$A$2:$A$20,A56)</x:f>
        <x:v>1.91296613994484</x:v>
      </x:c>
    </x:row>
    <x:row r="57" ht="23" customHeight="1">
      <x:c r="A57" s="4" t="n">
        <x:v>1923</x:v>
      </x:c>
      <x:c r="B57" s="14" t="str">
        <x:v>Switzerland</x:v>
      </x:c>
      <x:c r="C57" s="6" t="n">
        <x:v>488</x:v>
      </x:c>
      <x:c r="D57" s="6" t="n">
        <x:v>215</x:v>
      </x:c>
      <x:c r="E57" s="17" t="n">
        <x:f>C57-D57</x:f>
        <x:v>273</x:v>
      </x:c>
      <x:c r="F57" s="53" t="n">
        <x:f>100*C57/SUMIFS('Annual totals'!$B$2:$B$20,'Annual totals'!$A$2:$A$20,A57)</x:f>
        <x:v>3.5099499889666737</x:v>
      </x:c>
      <x:c r="G57" s="53" t="n">
        <x:f>100*D57/SUMIFS('Annual totals'!$C$2:$C$20,'Annual totals'!$A$2:$A$20,A57)</x:f>
        <x:v>1.986897198493433</x:v>
      </x:c>
    </x:row>
    <x:row r="58" ht="23" customHeight="1">
      <x:c r="A58" s="4" t="n">
        <x:v>1923</x:v>
      </x:c>
      <x:c r="B58" s="14" t="str">
        <x:v>USSR</x:v>
      </x:c>
      <x:c r="C58" s="6" t="n">
        <x:v>9</x:v>
      </x:c>
      <x:c r="D58" s="6" t="n">
        <x:v>6</x:v>
      </x:c>
      <x:c r="E58" s="17" t="n">
        <x:f>C58-D58</x:f>
        <x:v>3</x:v>
      </x:c>
      <x:c r="F58" s="53" t="n">
        <x:f>100*C58/SUMIFS('Annual totals'!$B$2:$B$20,'Annual totals'!$A$2:$A$20,A58)</x:f>
        <x:v>0.06473268422274603</x:v>
      </x:c>
      <x:c r="G58" s="53" t="n">
        <x:f>100*D58/SUMIFS('Annual totals'!$C$2:$C$20,'Annual totals'!$A$2:$A$20,A58)</x:f>
        <x:v>0.05544829391144464</x:v>
      </x:c>
    </x:row>
    <x:row r="59" ht="23" customHeight="1">
      <x:c r="A59" s="4" t="n">
        <x:v>1923</x:v>
      </x:c>
      <x:c r="B59" s="14" t="str">
        <x:v>United Kingdom</x:v>
      </x:c>
      <x:c r="C59" s="6" t="n">
        <x:v>1219</x:v>
      </x:c>
      <x:c r="D59" s="6" t="n">
        <x:v>337</x:v>
      </x:c>
      <x:c r="E59" s="17" t="n">
        <x:f>C59-D59</x:f>
        <x:v>882</x:v>
      </x:c>
      <x:c r="F59" s="53" t="n">
        <x:f>100*C59/SUMIFS('Annual totals'!$B$2:$B$20,'Annual totals'!$A$2:$A$20,A59)</x:f>
        <x:v>8.76768245194749</x:v>
      </x:c>
      <x:c r="G59" s="53" t="n">
        <x:f>100*D59/SUMIFS('Annual totals'!$C$2:$C$20,'Annual totals'!$A$2:$A$20,A59)</x:f>
        <x:v>3.114345841359474</x:v>
      </x:c>
    </x:row>
    <x:row r="60" ht="23" customHeight="1">
      <x:c r="A60" s="4" t="n">
        <x:v>1923</x:v>
      </x:c>
      <x:c r="B60" s="14" t="str">
        <x:v>United States</x:v>
      </x:c>
      <x:c r="C60" s="6" t="n">
        <x:v>557</x:v>
      </x:c>
      <x:c r="D60" s="6" t="n">
        <x:v>714</x:v>
      </x:c>
      <x:c r="E60" s="17" t="n">
        <x:f>C60-D60</x:f>
        <x:v>-157</x:v>
      </x:c>
      <x:c r="F60" s="53" t="n">
        <x:f>100*C60/SUMIFS('Annual totals'!$B$2:$B$20,'Annual totals'!$A$2:$A$20,A60)</x:f>
        <x:v>4.0062339013410595</x:v>
      </x:c>
      <x:c r="G60" s="53" t="n">
        <x:f>100*D60/SUMIFS('Annual totals'!$C$2:$C$20,'Annual totals'!$A$2:$A$20,A60)</x:f>
        <x:v>6.598346975461912</x:v>
      </x:c>
    </x:row>
    <x:row r="61" ht="23" customHeight="1">
      <x:c r="A61" s="4" t="n">
        <x:v>1923</x:v>
      </x:c>
      <x:c r="B61" s="14" t="str">
        <x:v>Yugoslavia</x:v>
      </x:c>
      <x:c r="C61" s="6" t="n">
        <x:v>548</x:v>
      </x:c>
      <x:c r="D61" s="6" t="n">
        <x:v>278</x:v>
      </x:c>
      <x:c r="E61" s="17" t="n">
        <x:f>C61-D61</x:f>
        <x:v>270</x:v>
      </x:c>
      <x:c r="F61" s="53" t="n">
        <x:f>100*C61/SUMIFS('Annual totals'!$B$2:$B$20,'Annual totals'!$A$2:$A$20,A61)</x:f>
        <x:v>3.9415012171183137</x:v>
      </x:c>
      <x:c r="G61" s="53" t="n">
        <x:f>100*D61/SUMIFS('Annual totals'!$C$2:$C$20,'Annual totals'!$A$2:$A$20,A61)</x:f>
        <x:v>2.569104284563602</x:v>
      </x:c>
    </x:row>
    <x:row r="62" ht="23" customHeight="1">
      <x:c r="A62" s="4" t="n">
        <x:v>1924</x:v>
      </x:c>
      <x:c r="B62" s="14" t="str">
        <x:v>Austria</x:v>
      </x:c>
      <x:c r="C62" s="6" t="n">
        <x:v>3523.757</x:v>
      </x:c>
      <x:c r="D62" s="6" t="n">
        <x:v>1243.83</x:v>
      </x:c>
      <x:c r="E62" s="17" t="n">
        <x:f>C62-D62</x:f>
        <x:v>2279.927</x:v>
      </x:c>
      <x:c r="F62" s="53" t="n">
        <x:f>100*C62/SUMIFS('Annual totals'!$B$2:$B$20,'Annual totals'!$A$2:$A$20,A62)</x:f>
        <x:v>20.684939427514806</x:v>
      </x:c>
      <x:c r="G62" s="53" t="n">
        <x:f>100*D62/SUMIFS('Annual totals'!$C$2:$C$20,'Annual totals'!$A$2:$A$20,A62)</x:f>
        <x:v>7.845180070544368</x:v>
      </x:c>
    </x:row>
    <x:row r="63" ht="23" customHeight="1">
      <x:c r="A63" s="4" t="n">
        <x:v>1924</x:v>
      </x:c>
      <x:c r="B63" s="14" t="str">
        <x:v>Belgium and Luxembourg</x:v>
      </x:c>
      <x:c r="C63" s="6" t="n">
        <x:v>101.359</x:v>
      </x:c>
      <x:c r="D63" s="6" t="n">
        <x:v>113.341</x:v>
      </x:c>
      <x:c r="E63" s="17" t="n">
        <x:f>C63-D63</x:f>
        <x:v>-11.982</x:v>
      </x:c>
      <x:c r="F63" s="53" t="n">
        <x:f>100*C63/SUMIFS('Annual totals'!$B$2:$B$20,'Annual totals'!$A$2:$A$20,A63)</x:f>
        <x:v>0.5949913048582728</x:v>
      </x:c>
      <x:c r="G63" s="53" t="n">
        <x:f>100*D63/SUMIFS('Annual totals'!$C$2:$C$20,'Annual totals'!$A$2:$A$20,A63)</x:f>
        <x:v>0.7148730569093599</x:v>
      </x:c>
    </x:row>
    <x:row r="64" ht="23" customHeight="1">
      <x:c r="A64" s="4" t="n">
        <x:v>1924</x:v>
      </x:c>
      <x:c r="B64" s="14" t="str">
        <x:v>France</x:v>
      </x:c>
      <x:c r="C64" s="6" t="n">
        <x:v>291.007</x:v>
      </x:c>
      <x:c r="D64" s="6" t="n">
        <x:v>535.773</x:v>
      </x:c>
      <x:c r="E64" s="17" t="n">
        <x:f>C64-D64</x:f>
        <x:v>-244.76600000000002</x:v>
      </x:c>
      <x:c r="F64" s="53" t="n">
        <x:f>100*C64/SUMIFS('Annual totals'!$B$2:$B$20,'Annual totals'!$A$2:$A$20,A64)</x:f>
        <x:v>1.7082512125503548</x:v>
      </x:c>
      <x:c r="G64" s="53" t="n">
        <x:f>100*D64/SUMIFS('Annual totals'!$C$2:$C$20,'Annual totals'!$A$2:$A$20,A64)</x:f>
        <x:v>3.3792685993550307</x:v>
      </x:c>
    </x:row>
    <x:row r="65" ht="23" customHeight="1">
      <x:c r="A65" s="4" t="n">
        <x:v>1924</x:v>
      </x:c>
      <x:c r="B65" s="14" t="str">
        <x:v>Germany</x:v>
      </x:c>
      <x:c r="C65" s="6" t="n">
        <x:v>4126.615</x:v>
      </x:c>
      <x:c r="D65" s="6" t="n">
        <x:v>6283.241</x:v>
      </x:c>
      <x:c r="E65" s="17" t="n">
        <x:f>C65-D65</x:f>
        <x:v>-2156.626</x:v>
      </x:c>
      <x:c r="F65" s="53" t="n">
        <x:f>100*C65/SUMIFS('Annual totals'!$B$2:$B$20,'Annual totals'!$A$2:$A$20,A65)</x:f>
        <x:v>24.223799006479165</x:v>
      </x:c>
      <x:c r="G65" s="53" t="n">
        <x:f>100*D65/SUMIFS('Annual totals'!$C$2:$C$20,'Annual totals'!$A$2:$A$20,A65)</x:f>
        <x:v>39.6301400284824</x:v>
      </x:c>
    </x:row>
    <x:row r="66" ht="23" customHeight="1">
      <x:c r="A66" s="4" t="n">
        <x:v>1924</x:v>
      </x:c>
      <x:c r="B66" s="14" t="str">
        <x:v>Hungary</x:v>
      </x:c>
      <x:c r="C66" s="6" t="n">
        <x:v>1134.776</x:v>
      </x:c>
      <x:c r="D66" s="6" t="n">
        <x:v>879.707</x:v>
      </x:c>
      <x:c r="E66" s="17" t="n">
        <x:f>C66-D66</x:f>
        <x:v>255.06900000000007</x:v>
      </x:c>
      <x:c r="F66" s="53" t="n">
        <x:f>100*C66/SUMIFS('Annual totals'!$B$2:$B$20,'Annual totals'!$A$2:$A$20,A66)</x:f>
        <x:v>6.661291577085917</x:v>
      </x:c>
      <x:c r="G66" s="53" t="n">
        <x:f>100*D66/SUMIFS('Annual totals'!$C$2:$C$20,'Annual totals'!$A$2:$A$20,A66)</x:f>
        <x:v>5.548555529548551</x:v>
      </x:c>
    </x:row>
    <x:row r="67" ht="23" customHeight="1">
      <x:c r="A67" s="4" t="n">
        <x:v>1924</x:v>
      </x:c>
      <x:c r="B67" s="14" t="str">
        <x:v>Italy</x:v>
      </x:c>
      <x:c r="C67" s="6" t="n">
        <x:v>832</x:v>
      </x:c>
      <x:c r="D67" s="6" t="n">
        <x:v>989</x:v>
      </x:c>
      <x:c r="E67" s="17" t="n">
        <x:f>C67-D67</x:f>
        <x:v>-157</x:v>
      </x:c>
      <x:c r="F67" s="53" t="n">
        <x:f>100*C67/SUMIFS('Annual totals'!$B$2:$B$20,'Annual totals'!$A$2:$A$20,A67)</x:f>
        <x:v>4.883954711886296</x:v>
      </x:c>
      <x:c r="G67" s="53" t="n">
        <x:f>100*D67/SUMIFS('Annual totals'!$C$2:$C$20,'Annual totals'!$A$2:$A$20,A67)</x:f>
        <x:v>6.237896730074351</x:v>
      </x:c>
    </x:row>
    <x:row r="68" ht="23" customHeight="1">
      <x:c r="A68" s="4" t="n">
        <x:v>1924</x:v>
      </x:c>
      <x:c r="B68" s="14" t="str">
        <x:v>Netherlands</x:v>
      </x:c>
      <x:c r="C68" s="6" t="n">
        <x:v>251.813</x:v>
      </x:c>
      <x:c r="D68" s="6" t="n">
        <x:v>478.535</x:v>
      </x:c>
      <x:c r="E68" s="17" t="n">
        <x:f>C68-D68</x:f>
        <x:v>-226.72200000000004</x:v>
      </x:c>
      <x:c r="F68" s="53" t="n">
        <x:f>100*C68/SUMIFS('Annual totals'!$B$2:$B$20,'Annual totals'!$A$2:$A$20,A68)</x:f>
        <x:v>1.4781770286829612</x:v>
      </x:c>
      <x:c r="G68" s="53" t="n">
        <x:f>100*D68/SUMIFS('Annual totals'!$C$2:$C$20,'Annual totals'!$A$2:$A$20,A68)</x:f>
        <x:v>3.018252691330768</x:v>
      </x:c>
    </x:row>
    <x:row r="69" ht="23" customHeight="1">
      <x:c r="A69" s="4" t="n">
        <x:v>1924</x:v>
      </x:c>
      <x:c r="B69" s="14" t="str">
        <x:v>Poland</x:v>
      </x:c>
      <x:c r="C69" s="6" t="n">
        <x:v>558.252</x:v>
      </x:c>
      <x:c r="D69" s="6" t="n">
        <x:v>723.004</x:v>
      </x:c>
      <x:c r="E69" s="17" t="n">
        <x:f>C69-D69</x:f>
        <x:v>-164.75200000000007</x:v>
      </x:c>
      <x:c r="F69" s="53" t="n">
        <x:f>100*C69/SUMIFS('Annual totals'!$B$2:$B$20,'Annual totals'!$A$2:$A$20,A69)</x:f>
        <x:v>3.277016208918207</x:v>
      </x:c>
      <x:c r="G69" s="53" t="n">
        <x:f>100*D69/SUMIFS('Annual totals'!$C$2:$C$20,'Annual totals'!$A$2:$A$20,A69)</x:f>
        <x:v>4.560186337139208</x:v>
      </x:c>
    </x:row>
    <x:row r="70" ht="23" customHeight="1">
      <x:c r="A70" s="4" t="n">
        <x:v>1924</x:v>
      </x:c>
      <x:c r="B70" s="14" t="str">
        <x:v>Romania</x:v>
      </x:c>
      <x:c r="C70" s="6" t="n">
        <x:v>796.241</x:v>
      </x:c>
      <x:c r="D70" s="6" t="n">
        <x:v>467.128</x:v>
      </x:c>
      <x:c r="E70" s="17" t="n">
        <x:f>C70-D70</x:f>
        <x:v>329.113</x:v>
      </x:c>
      <x:c r="F70" s="53" t="n">
        <x:f>100*C70/SUMIFS('Annual totals'!$B$2:$B$20,'Annual totals'!$A$2:$A$20,A70)</x:f>
        <x:v>4.674044451619058</x:v>
      </x:c>
      <x:c r="G70" s="53" t="n">
        <x:f>100*D70/SUMIFS('Annual totals'!$C$2:$C$20,'Annual totals'!$A$2:$A$20,A70)</x:f>
        <x:v>2.9463055851629636</x:v>
      </x:c>
    </x:row>
    <x:row r="71" ht="23" customHeight="1">
      <x:c r="A71" s="4" t="n">
        <x:v>1924</x:v>
      </x:c>
      <x:c r="B71" s="14" t="str">
        <x:v>Sweden</x:v>
      </x:c>
      <x:c r="C71" s="6" t="n">
        <x:v>179.991</x:v>
      </x:c>
      <x:c r="D71" s="6" t="n">
        <x:v>183.579</x:v>
      </x:c>
      <x:c r="E71" s="17" t="n">
        <x:f>C71-D71</x:f>
        <x:v>-3.587999999999994</x:v>
      </x:c>
      <x:c r="F71" s="53" t="n">
        <x:f>100*C71/SUMIFS('Annual totals'!$B$2:$B$20,'Annual totals'!$A$2:$A$20,A71)</x:f>
        <x:v>1.0565719862345269</x:v>
      </x:c>
      <x:c r="G71" s="53" t="n">
        <x:f>100*D71/SUMIFS('Annual totals'!$C$2:$C$20,'Annual totals'!$A$2:$A$20,A71)</x:f>
        <x:v>1.1578835630033564</x:v>
      </x:c>
    </x:row>
    <x:row r="72" ht="23" customHeight="1">
      <x:c r="A72" s="4" t="n">
        <x:v>1924</x:v>
      </x:c>
      <x:c r="B72" s="14" t="str">
        <x:v>Switzerland</x:v>
      </x:c>
      <x:c r="C72" s="6" t="n">
        <x:v>450.466</x:v>
      </x:c>
      <x:c r="D72" s="6" t="n">
        <x:v>369.272</x:v>
      </x:c>
      <x:c r="E72" s="17" t="n">
        <x:f>C72-D72</x:f>
        <x:v>81.19400000000002</x:v>
      </x:c>
      <x:c r="F72" s="53" t="n">
        <x:f>100*C72/SUMIFS('Annual totals'!$B$2:$B$20,'Annual totals'!$A$2:$A$20,A72)</x:f>
        <x:v>2.6442975279381873</x:v>
      </x:c>
      <x:c r="G72" s="53" t="n">
        <x:f>100*D72/SUMIFS('Annual totals'!$C$2:$C$20,'Annual totals'!$A$2:$A$20,A72)</x:f>
        <x:v>2.329100709108206</x:v>
      </x:c>
    </x:row>
    <x:row r="73" ht="23" customHeight="1">
      <x:c r="A73" s="4" t="n">
        <x:v>1924</x:v>
      </x:c>
      <x:c r="B73" s="14" t="str">
        <x:v>USSR</x:v>
      </x:c>
      <x:c r="C73" s="6" t="n">
        <x:v>72.642</x:v>
      </x:c>
      <x:c r="D73" s="6" t="n">
        <x:v>80.415</x:v>
      </x:c>
      <x:c r="E73" s="17" t="n">
        <x:f>C73-D73</x:f>
        <x:v>-7.77300000000001</x:v>
      </x:c>
      <x:c r="F73" s="53" t="n">
        <x:f>100*C73/SUMIFS('Annual totals'!$B$2:$B$20,'Annual totals'!$A$2:$A$20,A73)</x:f>
        <x:v>0.4264185555058224</x:v>
      </x:c>
      <x:c r="G73" s="53" t="n">
        <x:f>100*D73/SUMIFS('Annual totals'!$C$2:$C$20,'Annual totals'!$A$2:$A$20,A73)</x:f>
        <x:v>0.5071996618290485</x:v>
      </x:c>
    </x:row>
    <x:row r="74" ht="23" customHeight="1">
      <x:c r="A74" s="4" t="n">
        <x:v>1924</x:v>
      </x:c>
      <x:c r="B74" s="14" t="str">
        <x:v>United Kingdom</x:v>
      </x:c>
      <x:c r="C74" s="6" t="n">
        <x:v>1586.226</x:v>
      </x:c>
      <x:c r="D74" s="6" t="n">
        <x:v>448.042</x:v>
      </x:c>
      <x:c r="E74" s="17" t="n">
        <x:f>C74-D74</x:f>
        <x:v>1138.1840000000002</x:v>
      </x:c>
      <x:c r="F74" s="53" t="n">
        <x:f>100*C74/SUMIFS('Annual totals'!$B$2:$B$20,'Annual totals'!$A$2:$A$20,A74)</x:f>
        <x:v>9.31136532069297</x:v>
      </x:c>
      <x:c r="G74" s="53" t="n">
        <x:f>100*D74/SUMIFS('Annual totals'!$C$2:$C$20,'Annual totals'!$A$2:$A$20,A74)</x:f>
        <x:v>2.8259249006430456</x:v>
      </x:c>
    </x:row>
    <x:row r="75" ht="23" customHeight="1">
      <x:c r="A75" s="4" t="n">
        <x:v>1924</x:v>
      </x:c>
      <x:c r="B75" s="14" t="str">
        <x:v>United States</x:v>
      </x:c>
      <x:c r="C75" s="6" t="n">
        <x:v>719.03</x:v>
      </x:c>
      <x:c r="D75" s="6" t="n">
        <x:v>889.432</x:v>
      </x:c>
      <x:c r="E75" s="17" t="n">
        <x:f>C75-D75</x:f>
        <x:v>-170.40200000000004</x:v>
      </x:c>
      <x:c r="F75" s="53" t="n">
        <x:f>100*C75/SUMIFS('Annual totals'!$B$2:$B$20,'Annual totals'!$A$2:$A$20,A75)</x:f>
        <x:v>4.220805236162985</x:v>
      </x:c>
      <x:c r="G75" s="53" t="n">
        <x:f>100*D75/SUMIFS('Annual totals'!$C$2:$C$20,'Annual totals'!$A$2:$A$20,A75)</x:f>
        <x:v>5.6098937961814865</x:v>
      </x:c>
    </x:row>
    <x:row r="76" ht="23" customHeight="1">
      <x:c r="A76" s="4" t="n">
        <x:v>1924</x:v>
      </x:c>
      <x:c r="B76" s="14" t="str">
        <x:v>Yugoslavia</x:v>
      </x:c>
      <x:c r="C76" s="6" t="n">
        <x:v>829.598</x:v>
      </x:c>
      <x:c r="D76" s="6" t="n">
        <x:v>417.785</x:v>
      </x:c>
      <x:c r="E76" s="17" t="n">
        <x:f>C76-D76</x:f>
        <x:v>411.81299999999993</x:v>
      </x:c>
      <x:c r="F76" s="53" t="n">
        <x:f>100*C76/SUMIFS('Annual totals'!$B$2:$B$20,'Annual totals'!$A$2:$A$20,A76)</x:f>
        <x:v>4.869854640710873</x:v>
      </x:c>
      <x:c r="G76" s="53" t="n">
        <x:f>100*D76/SUMIFS('Annual totals'!$C$2:$C$20,'Annual totals'!$A$2:$A$20,A76)</x:f>
        <x:v>2.6350856272741283</x:v>
      </x:c>
    </x:row>
    <x:row r="77" ht="23" customHeight="1">
      <x:c r="A77" s="4" t="n">
        <x:v>1925</x:v>
      </x:c>
      <x:c r="B77" s="14" t="str">
        <x:v>Austria</x:v>
      </x:c>
      <x:c r="C77" s="6" t="n">
        <x:v>3252.496</x:v>
      </x:c>
      <x:c r="D77" s="6" t="n">
        <x:v>1296.265</x:v>
      </x:c>
      <x:c r="E77" s="17" t="n">
        <x:f>C77-D77</x:f>
        <x:v>1956.231</x:v>
      </x:c>
      <x:c r="F77" s="53" t="n">
        <x:f>100*C77/SUMIFS('Annual totals'!$B$2:$B$20,'Annual totals'!$A$2:$A$20,A77)</x:f>
        <x:v>17.281098816765297</x:v>
      </x:c>
      <x:c r="G77" s="53" t="n">
        <x:f>100*D77/SUMIFS('Annual totals'!$C$2:$C$20,'Annual totals'!$A$2:$A$20,A77)</x:f>
        <x:v>7.357570854219275</x:v>
      </x:c>
    </x:row>
    <x:row r="78" ht="23" customHeight="1">
      <x:c r="A78" s="4" t="n">
        <x:v>1925</x:v>
      </x:c>
      <x:c r="B78" s="14" t="str">
        <x:v>Belgium and Luxembourg</x:v>
      </x:c>
      <x:c r="C78" s="6" t="n">
        <x:v>85.636</x:v>
      </x:c>
      <x:c r="D78" s="6" t="n">
        <x:v>184.015</x:v>
      </x:c>
      <x:c r="E78" s="17" t="n">
        <x:f>C78-D78</x:f>
        <x:v>-98.37899999999999</x:v>
      </x:c>
      <x:c r="F78" s="53" t="n">
        <x:f>100*C78/SUMIFS('Annual totals'!$B$2:$B$20,'Annual totals'!$A$2:$A$20,A78)</x:f>
        <x:v>0.45499953828460143</x:v>
      </x:c>
      <x:c r="G78" s="53" t="n">
        <x:f>100*D78/SUMIFS('Annual totals'!$C$2:$C$20,'Annual totals'!$A$2:$A$20,A78)</x:f>
        <x:v>1.0444649826533616</x:v>
      </x:c>
    </x:row>
    <x:row r="79" ht="23" customHeight="1">
      <x:c r="A79" s="4" t="n">
        <x:v>1925</x:v>
      </x:c>
      <x:c r="B79" s="14" t="str">
        <x:v>France</x:v>
      </x:c>
      <x:c r="C79" s="6" t="n">
        <x:v>268.294</x:v>
      </x:c>
      <x:c r="D79" s="6" t="n">
        <x:v>692.404</x:v>
      </x:c>
      <x:c r="E79" s="17" t="n">
        <x:f>C79-D79</x:f>
        <x:v>-424.11</x:v>
      </x:c>
      <x:c r="F79" s="53" t="n">
        <x:f>100*C79/SUMIFS('Annual totals'!$B$2:$B$20,'Annual totals'!$A$2:$A$20,A79)</x:f>
        <x:v>1.425494489753478</x:v>
      </x:c>
      <x:c r="G79" s="53" t="n">
        <x:f>100*D79/SUMIFS('Annual totals'!$C$2:$C$20,'Annual totals'!$A$2:$A$20,A79)</x:f>
        <x:v>3.93006946090872</x:v>
      </x:c>
    </x:row>
    <x:row r="80" ht="23" customHeight="1">
      <x:c r="A80" s="4" t="n">
        <x:v>1925</x:v>
      </x:c>
      <x:c r="B80" s="14" t="str">
        <x:v>Germany</x:v>
      </x:c>
      <x:c r="C80" s="6" t="n">
        <x:v>5324.461</x:v>
      </x:c>
      <x:c r="D80" s="6" t="n">
        <x:v>6577.73</x:v>
      </x:c>
      <x:c r="E80" s="17" t="n">
        <x:f>C80-D80</x:f>
        <x:v>-1253.2689999999993</x:v>
      </x:c>
      <x:c r="F80" s="53" t="n">
        <x:f>100*C80/SUMIFS('Annual totals'!$B$2:$B$20,'Annual totals'!$A$2:$A$20,A80)</x:f>
        <x:v>28.289823165658916</x:v>
      </x:c>
      <x:c r="G80" s="53" t="n">
        <x:f>100*D80/SUMIFS('Annual totals'!$C$2:$C$20,'Annual totals'!$A$2:$A$20,A80)</x:f>
        <x:v>37.33504687307283</x:v>
      </x:c>
    </x:row>
    <x:row r="81" ht="23" customHeight="1">
      <x:c r="A81" s="4" t="n">
        <x:v>1925</x:v>
      </x:c>
      <x:c r="B81" s="14" t="str">
        <x:v>Hungary</x:v>
      </x:c>
      <x:c r="C81" s="6" t="n">
        <x:v>1178.192</x:v>
      </x:c>
      <x:c r="D81" s="6" t="n">
        <x:v>1120.815</x:v>
      </x:c>
      <x:c r="E81" s="17" t="n">
        <x:f>C81-D81</x:f>
        <x:v>57.37699999999995</x:v>
      </x:c>
      <x:c r="F81" s="53" t="n">
        <x:f>100*C81/SUMIFS('Annual totals'!$B$2:$B$20,'Annual totals'!$A$2:$A$20,A81)</x:f>
        <x:v>6.259946938327468</x:v>
      </x:c>
      <x:c r="G81" s="53" t="n">
        <x:f>100*D81/SUMIFS('Annual totals'!$C$2:$C$20,'Annual totals'!$A$2:$A$20,A81)</x:f>
        <x:v>6.36172061806172</x:v>
      </x:c>
    </x:row>
    <x:row r="82" ht="23" customHeight="1">
      <x:c r="A82" s="4" t="n">
        <x:v>1925</x:v>
      </x:c>
      <x:c r="B82" s="14" t="str">
        <x:v>Italy</x:v>
      </x:c>
      <x:c r="C82" s="6" t="n">
        <x:v>702</x:v>
      </x:c>
      <x:c r="D82" s="6" t="n">
        <x:v>729</x:v>
      </x:c>
      <x:c r="E82" s="17" t="n">
        <x:f>C82-D82</x:f>
        <x:v>-27</x:v>
      </x:c>
      <x:c r="F82" s="53" t="n">
        <x:f>100*C82/SUMIFS('Annual totals'!$B$2:$B$20,'Annual totals'!$A$2:$A$20,A82)</x:f>
        <x:v>3.7298528174574965</x:v>
      </x:c>
      <x:c r="G82" s="53" t="n">
        <x:f>100*D82/SUMIFS('Annual totals'!$C$2:$C$20,'Annual totals'!$A$2:$A$20,A82)</x:f>
        <x:v>4.137787530116026</x:v>
      </x:c>
    </x:row>
    <x:row r="83" ht="23" customHeight="1">
      <x:c r="A83" s="4" t="n">
        <x:v>1925</x:v>
      </x:c>
      <x:c r="B83" s="14" t="str">
        <x:v>Netherlands</x:v>
      </x:c>
      <x:c r="C83" s="6" t="n">
        <x:v>258.314</x:v>
      </x:c>
      <x:c r="D83" s="6" t="n">
        <x:v>510.854</x:v>
      </x:c>
      <x:c r="E83" s="17" t="n">
        <x:f>C83-D83</x:f>
        <x:v>-252.53999999999996</x:v>
      </x:c>
      <x:c r="F83" s="53" t="n">
        <x:f>100*C83/SUMIFS('Annual totals'!$B$2:$B$20,'Annual totals'!$A$2:$A$20,A83)</x:f>
        <x:v>1.3724689468500226</x:v>
      </x:c>
      <x:c r="G83" s="53" t="n">
        <x:f>100*D83/SUMIFS('Annual totals'!$C$2:$C$20,'Annual totals'!$A$2:$A$20,A83)</x:f>
        <x:v>2.8995957625650104</x:v>
      </x:c>
    </x:row>
    <x:row r="84" ht="23" customHeight="1">
      <x:c r="A84" s="4" t="n">
        <x:v>1925</x:v>
      </x:c>
      <x:c r="B84" s="14" t="str">
        <x:v>Poland</x:v>
      </x:c>
      <x:c r="C84" s="6" t="n">
        <x:v>658.753</x:v>
      </x:c>
      <x:c r="D84" s="6" t="n">
        <x:v>1238.302</x:v>
      </x:c>
      <x:c r="E84" s="17" t="n">
        <x:f>C84-D84</x:f>
        <x:v>-579.5489999999999</x:v>
      </x:c>
      <x:c r="F84" s="53" t="n">
        <x:f>100*C84/SUMIFS('Annual totals'!$B$2:$B$20,'Annual totals'!$A$2:$A$20,A84)</x:f>
        <x:v>3.5000736938156387</x:v>
      </x:c>
      <x:c r="G84" s="53" t="n">
        <x:f>100*D84/SUMIFS('Annual totals'!$C$2:$C$20,'Annual totals'!$A$2:$A$20,A84)</x:f>
        <x:v>7.0285741757444935</x:v>
      </x:c>
    </x:row>
    <x:row r="85" ht="23" customHeight="1">
      <x:c r="A85" s="4" t="n">
        <x:v>1925</x:v>
      </x:c>
      <x:c r="B85" s="14" t="str">
        <x:v>Romania</x:v>
      </x:c>
      <x:c r="C85" s="6" t="n">
        <x:v>849.84</x:v>
      </x:c>
      <x:c r="D85" s="6" t="n">
        <x:v>369.028</x:v>
      </x:c>
      <x:c r="E85" s="17" t="n">
        <x:f>C85-D85</x:f>
        <x:v>480.812</x:v>
      </x:c>
      <x:c r="F85" s="53" t="n">
        <x:f>100*C85/SUMIFS('Annual totals'!$B$2:$B$20,'Annual totals'!$A$2:$A$20,A85)</x:f>
        <x:v>4.515353444997263</x:v>
      </x:c>
      <x:c r="G85" s="53" t="n">
        <x:f>100*D85/SUMIFS('Annual totals'!$C$2:$C$20,'Annual totals'!$A$2:$A$20,A85)</x:f>
        <x:v>2.094594590759475</x:v>
      </x:c>
    </x:row>
    <x:row r="86" ht="23" customHeight="1">
      <x:c r="A86" s="4" t="n">
        <x:v>1925</x:v>
      </x:c>
      <x:c r="B86" s="14" t="str">
        <x:v>Sweden</x:v>
      </x:c>
      <x:c r="C86" s="6" t="n">
        <x:v>179.718</x:v>
      </x:c>
      <x:c r="D86" s="6" t="n">
        <x:v>211.188</x:v>
      </x:c>
      <x:c r="E86" s="17" t="n">
        <x:f>C86-D86</x:f>
        <x:v>-31.47</x:v>
      </x:c>
      <x:c r="F86" s="53" t="n">
        <x:f>100*C86/SUMIFS('Annual totals'!$B$2:$B$20,'Annual totals'!$A$2:$A$20,A86)</x:f>
        <x:v>0.9548742003530291</x:v>
      </x:c>
      <x:c r="G86" s="53" t="n">
        <x:f>100*D86/SUMIFS('Annual totals'!$C$2:$C$20,'Annual totals'!$A$2:$A$20,A86)</x:f>
        <x:v>1.1986983167491678</x:v>
      </x:c>
    </x:row>
    <x:row r="87" ht="23" customHeight="1">
      <x:c r="A87" s="4" t="n">
        <x:v>1925</x:v>
      </x:c>
      <x:c r="B87" s="14" t="str">
        <x:v>Switzerland</x:v>
      </x:c>
      <x:c r="C87" s="6" t="n">
        <x:v>557.234</x:v>
      </x:c>
      <x:c r="D87" s="6" t="n">
        <x:v>331.112</x:v>
      </x:c>
      <x:c r="E87" s="17" t="n">
        <x:f>C87-D87</x:f>
        <x:v>226.122</x:v>
      </x:c>
      <x:c r="F87" s="53" t="n">
        <x:f>100*C87/SUMIFS('Annual totals'!$B$2:$B$20,'Annual totals'!$A$2:$A$20,A87)</x:f>
        <x:v>2.9606849072408985</x:v>
      </x:c>
      <x:c r="G87" s="53" t="n">
        <x:f>100*D87/SUMIFS('Annual totals'!$C$2:$C$20,'Annual totals'!$A$2:$A$20,A87)</x:f>
        <x:v>1.8793842313741809</x:v>
      </x:c>
    </x:row>
    <x:row r="88" ht="23" customHeight="1">
      <x:c r="A88" s="4" t="n">
        <x:v>1925</x:v>
      </x:c>
      <x:c r="B88" s="14" t="str">
        <x:v>USSR</x:v>
      </x:c>
      <x:c r="C88" s="6" t="n">
        <x:v>403.926</x:v>
      </x:c>
      <x:c r="D88" s="6" t="n">
        <x:v>32.019</x:v>
      </x:c>
      <x:c r="E88" s="17" t="n">
        <x:f>C88-D88</x:f>
        <x:v>371.907</x:v>
      </x:c>
      <x:c r="F88" s="53" t="n">
        <x:f>100*C88/SUMIFS('Annual totals'!$B$2:$B$20,'Annual totals'!$A$2:$A$20,A88)</x:f>
        <x:v>2.1461318078979157</x:v>
      </x:c>
      <x:c r="G88" s="53" t="n">
        <x:f>100*D88/SUMIFS('Annual totals'!$C$2:$C$20,'Annual totals'!$A$2:$A$20,A88)</x:f>
        <x:v>0.18173912061287384</x:v>
      </x:c>
    </x:row>
    <x:row r="89" ht="23" customHeight="1">
      <x:c r="A89" s="4" t="n">
        <x:v>1925</x:v>
      </x:c>
      <x:c r="B89" s="14" t="str">
        <x:v>United Kingdom</x:v>
      </x:c>
      <x:c r="C89" s="6" t="n">
        <x:v>1535.235</x:v>
      </x:c>
      <x:c r="D89" s="6" t="n">
        <x:v>653.639</x:v>
      </x:c>
      <x:c r="E89" s="17" t="n">
        <x:f>C89-D89</x:f>
        <x:v>881.5959999999999</x:v>
      </x:c>
      <x:c r="F89" s="53" t="n">
        <x:f>100*C89/SUMIFS('Annual totals'!$B$2:$B$20,'Annual totals'!$A$2:$A$20,A89)</x:f>
        <x:v>8.156980897734131</x:v>
      </x:c>
      <x:c r="G89" s="53" t="n">
        <x:f>100*D89/SUMIFS('Annual totals'!$C$2:$C$20,'Annual totals'!$A$2:$A$20,A89)</x:f>
        <x:v>3.7100401967044028</x:v>
      </x:c>
    </x:row>
    <x:row r="90" ht="23" customHeight="1">
      <x:c r="A90" s="4" t="n">
        <x:v>1925</x:v>
      </x:c>
      <x:c r="B90" s="14" t="str">
        <x:v>United States</x:v>
      </x:c>
      <x:c r="C90" s="6" t="n">
        <x:v>756.013</x:v>
      </x:c>
      <x:c r="D90" s="6" t="n">
        <x:v>1117.963</x:v>
      </x:c>
      <x:c r="E90" s="17" t="n">
        <x:f>C90-D90</x:f>
        <x:v>-361.94999999999993</x:v>
      </x:c>
      <x:c r="F90" s="53" t="n">
        <x:f>100*C90/SUMIFS('Annual totals'!$B$2:$B$20,'Annual totals'!$A$2:$A$20,A90)</x:f>
        <x:v>4.016833643995007</x:v>
      </x:c>
      <x:c r="G90" s="53" t="n">
        <x:f>100*D90/SUMIFS('Annual totals'!$C$2:$C$20,'Annual totals'!$A$2:$A$20,A90)</x:f>
        <x:v>6.345532730495341</x:v>
      </x:c>
    </x:row>
    <x:row r="91" ht="23" customHeight="1">
      <x:c r="A91" s="4" t="n">
        <x:v>1925</x:v>
      </x:c>
      <x:c r="B91" s="14" t="str">
        <x:v>Yugoslavia</x:v>
      </x:c>
      <x:c r="C91" s="6" t="n">
        <x:v>820.54</x:v>
      </x:c>
      <x:c r="D91" s="6" t="n">
        <x:v>501.833</x:v>
      </x:c>
      <x:c r="E91" s="17" t="n">
        <x:f>C91-D91</x:f>
        <x:v>318.70699999999994</x:v>
      </x:c>
      <x:c r="F91" s="53" t="n">
        <x:f>100*C91/SUMIFS('Annual totals'!$B$2:$B$20,'Annual totals'!$A$2:$A$20,A91)</x:f>
        <x:v>4.359677251903952</x:v>
      </x:c>
      <x:c r="G91" s="53" t="n">
        <x:f>100*D91/SUMIFS('Annual totals'!$C$2:$C$20,'Annual totals'!$A$2:$A$20,A91)</x:f>
        <x:v>2.8483927703713525</x:v>
      </x:c>
    </x:row>
    <x:row r="92" ht="23" customHeight="1">
      <x:c r="A92" s="4" t="n">
        <x:v>1926</x:v>
      </x:c>
      <x:c r="B92" s="14" t="str">
        <x:v>Austria</x:v>
      </x:c>
      <x:c r="C92" s="6" t="n">
        <x:v>2904.259</x:v>
      </x:c>
      <x:c r="D92" s="6" t="n">
        <x:v>1130.916</x:v>
      </x:c>
      <x:c r="E92" s="17" t="n">
        <x:f>C92-D92</x:f>
        <x:v>1773.343</x:v>
      </x:c>
      <x:c r="F92" s="53" t="n">
        <x:f>100*C92/SUMIFS('Annual totals'!$B$2:$B$20,'Annual totals'!$A$2:$A$20,A92)</x:f>
        <x:v>16.264382180239764</x:v>
      </x:c>
      <x:c r="G92" s="53" t="n">
        <x:f>100*D92/SUMIFS('Annual totals'!$C$2:$C$20,'Annual totals'!$A$2:$A$20,A92)</x:f>
        <x:v>7.40289556540165</x:v>
      </x:c>
    </x:row>
    <x:row r="93" ht="23" customHeight="1">
      <x:c r="A93" s="4" t="n">
        <x:v>1926</x:v>
      </x:c>
      <x:c r="B93" s="14" t="str">
        <x:v>Belgium and Luxembourg</x:v>
      </x:c>
      <x:c r="C93" s="6" t="n">
        <x:v>90.987</x:v>
      </x:c>
      <x:c r="D93" s="6" t="n">
        <x:v>195.415</x:v>
      </x:c>
      <x:c r="E93" s="17" t="n">
        <x:f>C93-D93</x:f>
        <x:v>-104.428</x:v>
      </x:c>
      <x:c r="F93" s="53" t="n">
        <x:f>100*C93/SUMIFS('Annual totals'!$B$2:$B$20,'Annual totals'!$A$2:$A$20,A93)</x:f>
        <x:v>0.509543860046048</x:v>
      </x:c>
      <x:c r="G93" s="53" t="n">
        <x:f>100*D93/SUMIFS('Annual totals'!$C$2:$C$20,'Annual totals'!$A$2:$A$20,A93)</x:f>
        <x:v>1.279172667919601</x:v>
      </x:c>
    </x:row>
    <x:row r="94" ht="23" customHeight="1">
      <x:c r="A94" s="4" t="n">
        <x:v>1926</x:v>
      </x:c>
      <x:c r="B94" s="14" t="str">
        <x:v>France</x:v>
      </x:c>
      <x:c r="C94" s="6" t="n">
        <x:v>253.223</x:v>
      </x:c>
      <x:c r="D94" s="6" t="n">
        <x:v>677.444</x:v>
      </x:c>
      <x:c r="E94" s="17" t="n">
        <x:f>C94-D94</x:f>
        <x:v>-424.22099999999995</x:v>
      </x:c>
      <x:c r="F94" s="53" t="n">
        <x:f>100*C94/SUMIFS('Annual totals'!$B$2:$B$20,'Annual totals'!$A$2:$A$20,A94)</x:f>
        <x:v>1.4180951660395489</x:v>
      </x:c>
      <x:c r="G94" s="53" t="n">
        <x:f>100*D94/SUMIFS('Annual totals'!$C$2:$C$20,'Annual totals'!$A$2:$A$20,A94)</x:f>
        <x:v>4.434500160407984</x:v>
      </x:c>
    </x:row>
    <x:row r="95" ht="23" customHeight="1">
      <x:c r="A95" s="4" t="n">
        <x:v>1926</x:v>
      </x:c>
      <x:c r="B95" s="14" t="str">
        <x:v>Germany</x:v>
      </x:c>
      <x:c r="C95" s="6" t="n">
        <x:v>4762.021</x:v>
      </x:c>
      <x:c r="D95" s="6" t="n">
        <x:v>4718.674</x:v>
      </x:c>
      <x:c r="E95" s="17" t="n">
        <x:f>C95-D95</x:f>
        <x:v>43.34699999999975</x:v>
      </x:c>
      <x:c r="F95" s="53" t="n">
        <x:f>100*C95/SUMIFS('Annual totals'!$B$2:$B$20,'Annual totals'!$A$2:$A$20,A95)</x:f>
        <x:v>26.668189543125298</x:v>
      </x:c>
      <x:c r="G95" s="53" t="n">
        <x:f>100*D95/SUMIFS('Annual totals'!$C$2:$C$20,'Annual totals'!$A$2:$A$20,A95)</x:f>
        <x:v>30.888103828379887</x:v>
      </x:c>
    </x:row>
    <x:row r="96" ht="23" customHeight="1">
      <x:c r="A96" s="4" t="n">
        <x:v>1926</x:v>
      </x:c>
      <x:c r="B96" s="14" t="str">
        <x:v>Hungary</x:v>
      </x:c>
      <x:c r="C96" s="6" t="n">
        <x:v>1228.203</x:v>
      </x:c>
      <x:c r="D96" s="6" t="n">
        <x:v>1028.477</x:v>
      </x:c>
      <x:c r="E96" s="17" t="n">
        <x:f>C96-D96</x:f>
        <x:v>199.72599999999989</x:v>
      </x:c>
      <x:c r="F96" s="53" t="n">
        <x:f>100*C96/SUMIFS('Annual totals'!$B$2:$B$20,'Annual totals'!$A$2:$A$20,A96)</x:f>
        <x:v>6.878161688374563</x:v>
      </x:c>
      <x:c r="G96" s="53" t="n">
        <x:f>100*D96/SUMIFS('Annual totals'!$C$2:$C$20,'Annual totals'!$A$2:$A$20,A96)</x:f>
        <x:v>6.732337169531242</x:v>
      </x:c>
    </x:row>
    <x:row r="97" ht="23" customHeight="1">
      <x:c r="A97" s="4" t="n">
        <x:v>1926</x:v>
      </x:c>
      <x:c r="B97" s="14" t="str">
        <x:v>Italy</x:v>
      </x:c>
      <x:c r="C97" s="6" t="n">
        <x:v>441</x:v>
      </x:c>
      <x:c r="D97" s="6" t="n">
        <x:v>338</x:v>
      </x:c>
      <x:c r="E97" s="17" t="n">
        <x:f>C97-D97</x:f>
        <x:v>103</x:v>
      </x:c>
      <x:c r="F97" s="53" t="n">
        <x:f>100*C97/SUMIFS('Annual totals'!$B$2:$B$20,'Annual totals'!$A$2:$A$20,A97)</x:f>
        <x:v>2.4696807486817587</x:v>
      </x:c>
      <x:c r="G97" s="53" t="n">
        <x:f>100*D97/SUMIFS('Annual totals'!$C$2:$C$20,'Annual totals'!$A$2:$A$20,A97)</x:f>
        <x:v>2.212523919641917</x:v>
      </x:c>
    </x:row>
    <x:row r="98" ht="23" customHeight="1">
      <x:c r="A98" s="4" t="n">
        <x:v>1926</x:v>
      </x:c>
      <x:c r="B98" s="14" t="str">
        <x:v>Netherlands</x:v>
      </x:c>
      <x:c r="C98" s="6" t="n">
        <x:v>274.145</x:v>
      </x:c>
      <x:c r="D98" s="6" t="n">
        <x:v>510.971</x:v>
      </x:c>
      <x:c r="E98" s="17" t="n">
        <x:f>C98-D98</x:f>
        <x:v>-236.82600000000002</x:v>
      </x:c>
      <x:c r="F98" s="53" t="n">
        <x:f>100*C98/SUMIFS('Annual totals'!$B$2:$B$20,'Annual totals'!$A$2:$A$20,A98)</x:f>
        <x:v>1.5352621969327909</x:v>
      </x:c>
      <x:c r="G98" s="53" t="n">
        <x:f>100*D98/SUMIFS('Annual totals'!$C$2:$C$20,'Annual totals'!$A$2:$A$20,A98)</x:f>
        <x:v>3.3447797625542894</x:v>
      </x:c>
    </x:row>
    <x:row r="99" ht="23" customHeight="1">
      <x:c r="A99" s="4" t="n">
        <x:v>1926</x:v>
      </x:c>
      <x:c r="B99" s="14" t="str">
        <x:v>Poland</x:v>
      </x:c>
      <x:c r="C99" s="6" t="n">
        <x:v>364.225</x:v>
      </x:c>
      <x:c r="D99" s="6" t="n">
        <x:v>1096.639</x:v>
      </x:c>
      <x:c r="E99" s="17" t="n">
        <x:f>C99-D99</x:f>
        <x:v>-732.4139999999999</x:v>
      </x:c>
      <x:c r="F99" s="53" t="n">
        <x:f>100*C99/SUMIFS('Annual totals'!$B$2:$B$20,'Annual totals'!$A$2:$A$20,A99)</x:f>
        <x:v>2.0397266909038856</x:v>
      </x:c>
      <x:c r="G99" s="53" t="n">
        <x:f>100*D99/SUMIFS('Annual totals'!$C$2:$C$20,'Annual totals'!$A$2:$A$20,A99)</x:f>
        <x:v>7.178520765420686</x:v>
      </x:c>
    </x:row>
    <x:row r="100" ht="23" customHeight="1">
      <x:c r="A100" s="4" t="n">
        <x:v>1926</x:v>
      </x:c>
      <x:c r="B100" s="14" t="str">
        <x:v>Romania</x:v>
      </x:c>
      <x:c r="C100" s="6" t="n">
        <x:v>834.703</x:v>
      </x:c>
      <x:c r="D100" s="6" t="n">
        <x:v>480.931</x:v>
      </x:c>
      <x:c r="E100" s="17" t="n">
        <x:f>C100-D100</x:f>
        <x:v>353.772</x:v>
      </x:c>
      <x:c r="F100" s="53" t="n">
        <x:f>100*C100/SUMIFS('Annual totals'!$B$2:$B$20,'Annual totals'!$A$2:$A$20,A100)</x:f>
        <x:v>4.674489637113175</x:v>
      </x:c>
      <x:c r="G100" s="53" t="n">
        <x:f>100*D100/SUMIFS('Annual totals'!$C$2:$C$20,'Annual totals'!$A$2:$A$20,A100)</x:f>
        <x:v>3.148140062713925</x:v>
      </x:c>
    </x:row>
    <x:row r="101" ht="23" customHeight="1">
      <x:c r="A101" s="4" t="n">
        <x:v>1926</x:v>
      </x:c>
      <x:c r="B101" s="14" t="str">
        <x:v>Sweden</x:v>
      </x:c>
      <x:c r="C101" s="6" t="n">
        <x:v>204.185</x:v>
      </x:c>
      <x:c r="D101" s="6" t="n">
        <x:v>213.986</x:v>
      </x:c>
      <x:c r="E101" s="17" t="n">
        <x:f>C101-D101</x:f>
        <x:v>-9.800999999999988</x:v>
      </x:c>
      <x:c r="F101" s="53" t="n">
        <x:f>100*C101/SUMIFS('Annual totals'!$B$2:$B$20,'Annual totals'!$A$2:$A$20,A101)</x:f>
        <x:v>1.1434733870058615</x:v>
      </x:c>
      <x:c r="G101" s="53" t="n">
        <x:f>100*D101/SUMIFS('Annual totals'!$C$2:$C$20,'Annual totals'!$A$2:$A$20,A101)</x:f>
        <x:v>1.400737110853536</x:v>
      </x:c>
    </x:row>
    <x:row r="102" ht="23" customHeight="1">
      <x:c r="A102" s="4" t="n">
        <x:v>1926</x:v>
      </x:c>
      <x:c r="B102" s="14" t="str">
        <x:v>Switzerland</x:v>
      </x:c>
      <x:c r="C102" s="6" t="n">
        <x:v>516.224</x:v>
      </x:c>
      <x:c r="D102" s="6" t="n">
        <x:v>326.729</x:v>
      </x:c>
      <x:c r="E102" s="17" t="n">
        <x:f>C102-D102</x:f>
        <x:v>189.49500000000006</x:v>
      </x:c>
      <x:c r="F102" s="53" t="n">
        <x:f>100*C102/SUMIFS('Annual totals'!$B$2:$B$20,'Annual totals'!$A$2:$A$20,A102)</x:f>
        <x:v>2.890948922465969</x:v>
      </x:c>
      <x:c r="G102" s="53" t="n">
        <x:f>100*D102/SUMIFS('Annual totals'!$C$2:$C$20,'Annual totals'!$A$2:$A$20,A102)</x:f>
        <x:v>2.138744756629242</x:v>
      </x:c>
    </x:row>
    <x:row r="103" ht="23" customHeight="1">
      <x:c r="A103" s="4" t="n">
        <x:v>1926</x:v>
      </x:c>
      <x:c r="B103" s="14" t="str">
        <x:v>USSR</x:v>
      </x:c>
      <x:c r="C103" s="6" t="n">
        <x:v>155.839</x:v>
      </x:c>
      <x:c r="D103" s="6" t="n">
        <x:v>79.767</x:v>
      </x:c>
      <x:c r="E103" s="17" t="n">
        <x:f>C103-D103</x:f>
        <x:v>76.072</x:v>
      </x:c>
      <x:c r="F103" s="53" t="n">
        <x:f>100*C103/SUMIFS('Annual totals'!$B$2:$B$20,'Annual totals'!$A$2:$A$20,A103)</x:f>
        <x:v>0.8727269346798562</x:v>
      </x:c>
      <x:c r="G103" s="53" t="n">
        <x:f>100*D103/SUMIFS('Annual totals'!$C$2:$C$20,'Annual totals'!$A$2:$A$20,A103)</x:f>
        <x:v>0.522149099106736</x:v>
      </x:c>
    </x:row>
    <x:row r="104" ht="23" customHeight="1">
      <x:c r="A104" s="4" t="n">
        <x:v>1926</x:v>
      </x:c>
      <x:c r="B104" s="14" t="str">
        <x:v>United Kingdom</x:v>
      </x:c>
      <x:c r="C104" s="6" t="n">
        <x:v>1540.168</x:v>
      </x:c>
      <x:c r="D104" s="6" t="n">
        <x:v>605.042</x:v>
      </x:c>
      <x:c r="E104" s="17" t="n">
        <x:f>C104-D104</x:f>
        <x:v>935.1259999999999</x:v>
      </x:c>
      <x:c r="F104" s="53" t="n">
        <x:f>100*C104/SUMIFS('Annual totals'!$B$2:$B$20,'Annual totals'!$A$2:$A$20,A104)</x:f>
        <x:v>8.625222810285004</x:v>
      </x:c>
      <x:c r="G104" s="53" t="n">
        <x:f>100*D104/SUMIFS('Annual totals'!$C$2:$C$20,'Annual totals'!$A$2:$A$20,A104)</x:f>
        <x:v>3.9605618265916704</x:v>
      </x:c>
    </x:row>
    <x:row r="105" ht="23" customHeight="1">
      <x:c r="A105" s="4" t="n">
        <x:v>1926</x:v>
      </x:c>
      <x:c r="B105" s="14" t="str">
        <x:v>United States</x:v>
      </x:c>
      <x:c r="C105" s="6" t="n">
        <x:v>845.03</x:v>
      </x:c>
      <x:c r="D105" s="6" t="n">
        <x:v>765.437</x:v>
      </x:c>
      <x:c r="E105" s="17" t="n">
        <x:f>C105-D105</x:f>
        <x:v>79.59299999999996</x:v>
      </x:c>
      <x:c r="F105" s="53" t="n">
        <x:f>100*C105/SUMIFS('Annual totals'!$B$2:$B$20,'Annual totals'!$A$2:$A$20,A105)</x:f>
        <x:v>4.732322728023915</x:v>
      </x:c>
      <x:c r="G105" s="53" t="n">
        <x:f>100*D105/SUMIFS('Annual totals'!$C$2:$C$20,'Annual totals'!$A$2:$A$20,A105)</x:f>
        <x:v>5.010496069464348</x:v>
      </x:c>
    </x:row>
    <x:row r="106" ht="23" customHeight="1">
      <x:c r="A106" s="4" t="n">
        <x:v>1926</x:v>
      </x:c>
      <x:c r="B106" s="14" t="str">
        <x:v>Yugoslavia</x:v>
      </x:c>
      <x:c r="C106" s="6" t="n">
        <x:v>963.368</x:v>
      </x:c>
      <x:c r="D106" s="6" t="n">
        <x:v>583.363</x:v>
      </x:c>
      <x:c r="E106" s="17" t="n">
        <x:f>C106-D106</x:f>
        <x:v>380.005</x:v>
      </x:c>
      <x:c r="F106" s="53" t="n">
        <x:f>100*C106/SUMIFS('Annual totals'!$B$2:$B$20,'Annual totals'!$A$2:$A$20,A106)</x:f>
        <x:v>5.3950371961361645</x:v>
      </x:c>
      <x:c r="G106" s="53" t="n">
        <x:f>100*D106/SUMIFS('Annual totals'!$C$2:$C$20,'Annual totals'!$A$2:$A$20,A106)</x:f>
        <x:v>3.81865263708304</x:v>
      </x:c>
    </x:row>
    <x:row r="107" ht="23" customHeight="1">
      <x:c r="A107" s="4" t="n">
        <x:v>1927</x:v>
      </x:c>
      <x:c r="B107" s="14" t="str">
        <x:v>Austria</x:v>
      </x:c>
      <x:c r="C107" s="6" t="n">
        <x:v>3069.304</x:v>
      </x:c>
      <x:c r="D107" s="6" t="n">
        <x:v>1279.557</x:v>
      </x:c>
      <x:c r="E107" s="17" t="n">
        <x:f>C107-D107</x:f>
        <x:v>1789.747</x:v>
      </x:c>
      <x:c r="F107" s="53" t="n">
        <x:f>100*C107/SUMIFS('Annual totals'!$B$2:$B$20,'Annual totals'!$A$2:$A$20,A107)</x:f>
        <x:v>15.243293937782731</x:v>
      </x:c>
      <x:c r="G107" s="53" t="n">
        <x:f>100*D107/SUMIFS('Annual totals'!$C$2:$C$20,'Annual totals'!$A$2:$A$20,A107)</x:f>
        <x:v>7.123834849750846</x:v>
      </x:c>
    </x:row>
    <x:row r="108" ht="23" customHeight="1">
      <x:c r="A108" s="4" t="n">
        <x:v>1927</x:v>
      </x:c>
      <x:c r="B108" s="14" t="str">
        <x:v>Belgium and Luxembourg</x:v>
      </x:c>
      <x:c r="C108" s="6" t="n">
        <x:v>128.909</x:v>
      </x:c>
      <x:c r="D108" s="6" t="n">
        <x:v>318.569</x:v>
      </x:c>
      <x:c r="E108" s="17" t="n">
        <x:f>C108-D108</x:f>
        <x:v>-189.66000000000003</x:v>
      </x:c>
      <x:c r="F108" s="53" t="n">
        <x:f>100*C108/SUMIFS('Annual totals'!$B$2:$B$20,'Annual totals'!$A$2:$A$20,A108)</x:f>
        <x:v>0.6402095648478072</x:v>
      </x:c>
      <x:c r="G108" s="53" t="n">
        <x:f>100*D108/SUMIFS('Annual totals'!$C$2:$C$20,'Annual totals'!$A$2:$A$20,A108)</x:f>
        <x:v>1.7736083224508774</x:v>
      </x:c>
    </x:row>
    <x:row r="109" ht="23" customHeight="1">
      <x:c r="A109" s="4" t="n">
        <x:v>1927</x:v>
      </x:c>
      <x:c r="B109" s="14" t="str">
        <x:v>France</x:v>
      </x:c>
      <x:c r="C109" s="6" t="n">
        <x:v>251</x:v>
      </x:c>
      <x:c r="D109" s="6" t="n">
        <x:v>784.876</x:v>
      </x:c>
      <x:c r="E109" s="17" t="n">
        <x:f>C109-D109</x:f>
        <x:v>-533.876</x:v>
      </x:c>
      <x:c r="F109" s="53" t="n">
        <x:f>100*C109/SUMIFS('Annual totals'!$B$2:$B$20,'Annual totals'!$A$2:$A$20,A109)</x:f>
        <x:v>1.2465584309613729</x:v>
      </x:c>
      <x:c r="G109" s="53" t="n">
        <x:f>100*D109/SUMIFS('Annual totals'!$C$2:$C$20,'Annual totals'!$A$2:$A$20,A109)</x:f>
        <x:v>4.369736558459721</x:v>
      </x:c>
    </x:row>
    <x:row r="110" ht="23" customHeight="1">
      <x:c r="A110" s="4" t="n">
        <x:v>1927</x:v>
      </x:c>
      <x:c r="B110" s="14" t="str">
        <x:v>Germany</x:v>
      </x:c>
      <x:c r="C110" s="6" t="n">
        <x:v>5720.874</x:v>
      </x:c>
      <x:c r="D110" s="6" t="n">
        <x:v>6538.859</x:v>
      </x:c>
      <x:c r="E110" s="17" t="n">
        <x:f>C110-D110</x:f>
        <x:v>-817.9850000000006</x:v>
      </x:c>
      <x:c r="F110" s="53" t="n">
        <x:f>100*C110/SUMIFS('Annual totals'!$B$2:$B$20,'Annual totals'!$A$2:$A$20,A110)</x:f>
        <x:v>28.411967000668177</x:v>
      </x:c>
      <x:c r="G110" s="53" t="n">
        <x:f>100*D110/SUMIFS('Annual totals'!$C$2:$C$20,'Annual totals'!$A$2:$A$20,A110)</x:f>
        <x:v>36.404592856595656</x:v>
      </x:c>
    </x:row>
    <x:row r="111" ht="23" customHeight="1">
      <x:c r="A111" s="4" t="n">
        <x:v>1927</x:v>
      </x:c>
      <x:c r="B111" s="14" t="str">
        <x:v>Hungary</x:v>
      </x:c>
      <x:c r="C111" s="6" t="n">
        <x:v>1622.081</x:v>
      </x:c>
      <x:c r="D111" s="6" t="n">
        <x:v>962.748</x:v>
      </x:c>
      <x:c r="E111" s="17" t="n">
        <x:f>C111-D111</x:f>
        <x:v>659.3329999999999</x:v>
      </x:c>
      <x:c r="F111" s="53" t="n">
        <x:f>100*C111/SUMIFS('Annual totals'!$B$2:$B$20,'Annual totals'!$A$2:$A$20,A111)</x:f>
        <x:v>8.05585157869424</x:v>
      </x:c>
      <x:c r="G111" s="53" t="n">
        <x:f>100*D111/SUMIFS('Annual totals'!$C$2:$C$20,'Annual totals'!$A$2:$A$20,A111)</x:f>
        <x:v>5.360025191474805</x:v>
      </x:c>
    </x:row>
    <x:row r="112" ht="23" customHeight="1">
      <x:c r="A112" s="4" t="n">
        <x:v>1927</x:v>
      </x:c>
      <x:c r="B112" s="14" t="str">
        <x:v>Italy</x:v>
      </x:c>
      <x:c r="C112" s="6" t="n">
        <x:v>737.15</x:v>
      </x:c>
      <x:c r="D112" s="6" t="n">
        <x:v>635.306</x:v>
      </x:c>
      <x:c r="E112" s="17" t="n">
        <x:f>C112-D112</x:f>
        <x:v>101.84399999999994</x:v>
      </x:c>
      <x:c r="F112" s="53" t="n">
        <x:f>100*C112/SUMIFS('Annual totals'!$B$2:$B$20,'Annual totals'!$A$2:$A$20,A112)</x:f>
        <x:v>3.660958356108271</x:v>
      </x:c>
      <x:c r="G112" s="53" t="n">
        <x:f>100*D112/SUMIFS('Annual totals'!$C$2:$C$20,'Annual totals'!$A$2:$A$20,A112)</x:f>
        <x:v>3.5370171262834025</x:v>
      </x:c>
    </x:row>
    <x:row r="113" ht="23" customHeight="1">
      <x:c r="A113" s="4" t="n">
        <x:v>1927</x:v>
      </x:c>
      <x:c r="B113" s="14" t="str">
        <x:v>Netherlands</x:v>
      </x:c>
      <x:c r="C113" s="6" t="n">
        <x:v>315.839</x:v>
      </x:c>
      <x:c r="D113" s="6" t="n">
        <x:v>376.93</x:v>
      </x:c>
      <x:c r="E113" s="17" t="n">
        <x:f>C113-D113</x:f>
        <x:v>-61.09100000000001</x:v>
      </x:c>
      <x:c r="F113" s="53" t="n">
        <x:f>100*C113/SUMIFS('Annual totals'!$B$2:$B$20,'Annual totals'!$A$2:$A$20,A113)</x:f>
        <x:v>1.5685727819777253</x:v>
      </x:c>
      <x:c r="G113" s="53" t="n">
        <x:f>100*D113/SUMIFS('Annual totals'!$C$2:$C$20,'Annual totals'!$A$2:$A$20,A113)</x:f>
        <x:v>2.0985286860347654</x:v>
      </x:c>
    </x:row>
    <x:row r="114" ht="23" customHeight="1">
      <x:c r="A114" s="4" t="n">
        <x:v>1927</x:v>
      </x:c>
      <x:c r="B114" s="14" t="str">
        <x:v>Poland</x:v>
      </x:c>
      <x:c r="C114" s="6" t="n">
        <x:v>676.016</x:v>
      </x:c>
      <x:c r="D114" s="6" t="n">
        <x:v>1055.782</x:v>
      </x:c>
      <x:c r="E114" s="17" t="n">
        <x:f>C114-D114</x:f>
        <x:v>-379.76599999999996</x:v>
      </x:c>
      <x:c r="F114" s="53" t="n">
        <x:f>100*C114/SUMIFS('Annual totals'!$B$2:$B$20,'Annual totals'!$A$2:$A$20,A114)</x:f>
        <x:v>3.357344399461288</x:v>
      </x:c>
      <x:c r="G114" s="53" t="n">
        <x:f>100*D114/SUMIFS('Annual totals'!$C$2:$C$20,'Annual totals'!$A$2:$A$20,A114)</x:f>
        <x:v>5.877984806725802</x:v>
      </x:c>
    </x:row>
    <x:row r="115" ht="23" customHeight="1">
      <x:c r="A115" s="4" t="n">
        <x:v>1927</x:v>
      </x:c>
      <x:c r="B115" s="14" t="str">
        <x:v>Romania</x:v>
      </x:c>
      <x:c r="C115" s="6" t="n">
        <x:v>907.516</x:v>
      </x:c>
      <x:c r="D115" s="6" t="n">
        <x:v>662.804</x:v>
      </x:c>
      <x:c r="E115" s="17" t="n">
        <x:f>C115-D115</x:f>
        <x:v>244.712</x:v>
      </x:c>
      <x:c r="F115" s="53" t="n">
        <x:f>100*C115/SUMIFS('Annual totals'!$B$2:$B$20,'Annual totals'!$A$2:$A$20,A115)</x:f>
        <x:v>4.507058649531239</x:v>
      </x:c>
      <x:c r="G115" s="53" t="n">
        <x:f>100*D115/SUMIFS('Annual totals'!$C$2:$C$20,'Annual totals'!$A$2:$A$20,A115)</x:f>
        <x:v>3.6901101191695713</x:v>
      </x:c>
    </x:row>
    <x:row r="116" ht="23" customHeight="1">
      <x:c r="A116" s="4" t="n">
        <x:v>1927</x:v>
      </x:c>
      <x:c r="B116" s="14" t="str">
        <x:v>Sweden</x:v>
      </x:c>
      <x:c r="C116" s="6" t="n">
        <x:v>257.688</x:v>
      </x:c>
      <x:c r="D116" s="6" t="n">
        <x:v>231.148</x:v>
      </x:c>
      <x:c r="E116" s="17" t="n">
        <x:f>C116-D116</x:f>
        <x:v>26.539999999999992</x:v>
      </x:c>
      <x:c r="F116" s="53" t="n">
        <x:f>100*C116/SUMIFS('Annual totals'!$B$2:$B$20,'Annual totals'!$A$2:$A$20,A116)</x:f>
        <x:v>1.279773501823005</x:v>
      </x:c>
      <x:c r="G116" s="53" t="n">
        <x:f>100*D116/SUMIFS('Annual totals'!$C$2:$C$20,'Annual totals'!$A$2:$A$20,A116)</x:f>
        <x:v>1.286898651525652</x:v>
      </x:c>
    </x:row>
    <x:row r="117" ht="23" customHeight="1">
      <x:c r="A117" s="4" t="n">
        <x:v>1927</x:v>
      </x:c>
      <x:c r="B117" s="14" t="str">
        <x:v>Switzerland</x:v>
      </x:c>
      <x:c r="C117" s="6" t="n">
        <x:v>520.866</x:v>
      </x:c>
      <x:c r="D117" s="6" t="n">
        <x:v>433.318</x:v>
      </x:c>
      <x:c r="E117" s="17" t="n">
        <x:f>C117-D117</x:f>
        <x:v>87.548</x:v>
      </x:c>
      <x:c r="F117" s="53" t="n">
        <x:f>100*C117/SUMIFS('Annual totals'!$B$2:$B$20,'Annual totals'!$A$2:$A$20,A117)</x:f>
        <x:v>2.586812365343133</x:v>
      </x:c>
      <x:c r="G117" s="53" t="n">
        <x:f>100*D117/SUMIFS('Annual totals'!$C$2:$C$20,'Annual totals'!$A$2:$A$20,A117)</x:f>
        <x:v>2.412464524381748</x:v>
      </x:c>
    </x:row>
    <x:row r="118" ht="23" customHeight="1">
      <x:c r="A118" s="4" t="n">
        <x:v>1927</x:v>
      </x:c>
      <x:c r="B118" s="14" t="str">
        <x:v>USSR</x:v>
      </x:c>
      <x:c r="C118" s="6" t="n">
        <x:v>190.245</x:v>
      </x:c>
      <x:c r="D118" s="6" t="n">
        <x:v>153.523</x:v>
      </x:c>
      <x:c r="E118" s="17" t="n">
        <x:f>C118-D118</x:f>
        <x:v>36.72200000000001</x:v>
      </x:c>
      <x:c r="F118" s="53" t="n">
        <x:f>100*C118/SUMIFS('Annual totals'!$B$2:$B$20,'Annual totals'!$A$2:$A$20,A118)</x:f>
        <x:v>0.9448267278814596</x:v>
      </x:c>
      <x:c r="G118" s="53" t="n">
        <x:f>100*D118/SUMIFS('Annual totals'!$C$2:$C$20,'Annual totals'!$A$2:$A$20,A118)</x:f>
        <x:v>0.8547274546099151</x:v>
      </x:c>
    </x:row>
    <x:row r="119" ht="23" customHeight="1">
      <x:c r="A119" s="4" t="n">
        <x:v>1927</x:v>
      </x:c>
      <x:c r="B119" s="14" t="str">
        <x:v>United Kingdom</x:v>
      </x:c>
      <x:c r="C119" s="6" t="n">
        <x:v>1519.507</x:v>
      </x:c>
      <x:c r="D119" s="6" t="n">
        <x:v>800.418</x:v>
      </x:c>
      <x:c r="E119" s="17" t="n">
        <x:f>C119-D119</x:f>
        <x:v>719.089</x:v>
      </x:c>
      <x:c r="F119" s="53" t="n">
        <x:f>100*C119/SUMIFS('Annual totals'!$B$2:$B$20,'Annual totals'!$A$2:$A$20,A119)</x:f>
        <x:v>7.546431321732362</x:v>
      </x:c>
      <x:c r="G119" s="53" t="n">
        <x:f>100*D119/SUMIFS('Annual totals'!$C$2:$C$20,'Annual totals'!$A$2:$A$20,A119)</x:f>
        <x:v>4.456265444030921</x:v>
      </x:c>
    </x:row>
    <x:row r="120" ht="23" customHeight="1">
      <x:c r="A120" s="4" t="n">
        <x:v>1927</x:v>
      </x:c>
      <x:c r="B120" s="14" t="str">
        <x:v>United States</x:v>
      </x:c>
      <x:c r="C120" s="6" t="n">
        <x:v>1012.478</x:v>
      </x:c>
      <x:c r="D120" s="6" t="n">
        <x:v>1231.979</x:v>
      </x:c>
      <x:c r="E120" s="17" t="n">
        <x:f>C120-D120</x:f>
        <x:v>-219.5010000000001</x:v>
      </x:c>
      <x:c r="F120" s="53" t="n">
        <x:f>100*C120/SUMIFS('Annual totals'!$B$2:$B$20,'Annual totals'!$A$2:$A$20,A120)</x:f>
        <x:v>5.02833859387613</x:v>
      </x:c>
      <x:c r="G120" s="53" t="n">
        <x:f>100*D120/SUMIFS('Annual totals'!$C$2:$C$20,'Annual totals'!$A$2:$A$20,A120)</x:f>
        <x:v>6.858948006506313</x:v>
      </x:c>
    </x:row>
    <x:row r="121" ht="23" customHeight="1">
      <x:c r="A121" s="4" t="n">
        <x:v>1927</x:v>
      </x:c>
      <x:c r="B121" s="14" t="str">
        <x:v>Yugoslavia</x:v>
      </x:c>
      <x:c r="C121" s="6" t="n">
        <x:v>926.494</x:v>
      </x:c>
      <x:c r="D121" s="6" t="n">
        <x:v>585.503</x:v>
      </x:c>
      <x:c r="E121" s="17" t="n">
        <x:f>C121-D121</x:f>
        <x:v>340.991</x:v>
      </x:c>
      <x:c r="F121" s="53" t="n">
        <x:f>100*C121/SUMIFS('Annual totals'!$B$2:$B$20,'Annual totals'!$A$2:$A$20,A121)</x:f>
        <x:v>4.601310386195722</x:v>
      </x:c>
      <x:c r="G121" s="53" t="n">
        <x:f>100*D121/SUMIFS('Annual totals'!$C$2:$C$20,'Annual totals'!$A$2:$A$20,A121)</x:f>
        <x:v>3.2597427672496573</x:v>
      </x:c>
    </x:row>
    <x:row r="122" ht="23" customHeight="1">
      <x:c r="A122" s="4" t="n">
        <x:v>1928</x:v>
      </x:c>
      <x:c r="B122" s="14" t="str">
        <x:v>Austria</x:v>
      </x:c>
      <x:c r="C122" s="6" t="n">
        <x:v>3124.721</x:v>
      </x:c>
      <x:c r="D122" s="6" t="n">
        <x:v>1443.108</x:v>
      </x:c>
      <x:c r="E122" s="17" t="n">
        <x:f>C122-D122</x:f>
        <x:v>1681.613</x:v>
      </x:c>
      <x:c r="F122" s="53" t="n">
        <x:f>100*C122/SUMIFS('Annual totals'!$B$2:$B$20,'Annual totals'!$A$2:$A$20,A122)</x:f>
        <x:v>14.722436560774861</x:v>
      </x:c>
      <x:c r="G122" s="53" t="n">
        <x:f>100*D122/SUMIFS('Annual totals'!$C$2:$C$20,'Annual totals'!$A$2:$A$20,A122)</x:f>
        <x:v>7.513095000531813</x:v>
      </x:c>
    </x:row>
    <x:row r="123" ht="23" customHeight="1">
      <x:c r="A123" s="4" t="n">
        <x:v>1928</x:v>
      </x:c>
      <x:c r="B123" s="14" t="str">
        <x:v>Belgium and Luxembourg</x:v>
      </x:c>
      <x:c r="C123" s="6" t="n">
        <x:v>160.606</x:v>
      </x:c>
      <x:c r="D123" s="6" t="n">
        <x:v>288.861</x:v>
      </x:c>
      <x:c r="E123" s="17" t="n">
        <x:f>C123-D123</x:f>
        <x:v>-128.255</x:v>
      </x:c>
      <x:c r="F123" s="53" t="n">
        <x:f>100*C123/SUMIFS('Annual totals'!$B$2:$B$20,'Annual totals'!$A$2:$A$20,A123)</x:f>
        <x:v>0.7567112859931518</x:v>
      </x:c>
      <x:c r="G123" s="53" t="n">
        <x:f>100*D123/SUMIFS('Annual totals'!$C$2:$C$20,'Annual totals'!$A$2:$A$20,A123)</x:f>
        <x:v>1.5038653620855957</x:v>
      </x:c>
    </x:row>
    <x:row r="124" ht="23" customHeight="1">
      <x:c r="A124" s="4" t="n">
        <x:v>1928</x:v>
      </x:c>
      <x:c r="B124" s="14" t="str">
        <x:v>France</x:v>
      </x:c>
      <x:c r="C124" s="6" t="n">
        <x:v>294</x:v>
      </x:c>
      <x:c r="D124" s="6" t="n">
        <x:v>824</x:v>
      </x:c>
      <x:c r="E124" s="17" t="n">
        <x:f>C124-D124</x:f>
        <x:v>-530</x:v>
      </x:c>
      <x:c r="F124" s="53" t="n">
        <x:f>100*C124/SUMIFS('Annual totals'!$B$2:$B$20,'Annual totals'!$A$2:$A$20,A124)</x:f>
        <x:v>1.3852105032314277</x:v>
      </x:c>
      <x:c r="G124" s="53" t="n">
        <x:f>100*D124/SUMIFS('Annual totals'!$C$2:$C$20,'Annual totals'!$A$2:$A$20,A124)</x:f>
        <x:v>4.289900880903033</x:v>
      </x:c>
    </x:row>
    <x:row r="125" ht="23" customHeight="1">
      <x:c r="A125" s="4" t="n">
        <x:v>1928</x:v>
      </x:c>
      <x:c r="B125" s="14" t="str">
        <x:v>Germany</x:v>
      </x:c>
      <x:c r="C125" s="6" t="n">
        <x:v>5690.398</x:v>
      </x:c>
      <x:c r="D125" s="6" t="n">
        <x:v>7418.688</x:v>
      </x:c>
      <x:c r="E125" s="17" t="n">
        <x:f>C125-D125</x:f>
        <x:v>-1728.29</x:v>
      </x:c>
      <x:c r="F125" s="53" t="n">
        <x:f>100*C125/SUMIFS('Annual totals'!$B$2:$B$20,'Annual totals'!$A$2:$A$20,A125)</x:f>
        <x:v>26.810881214854113</x:v>
      </x:c>
      <x:c r="G125" s="53" t="n">
        <x:f>100*D125/SUMIFS('Annual totals'!$C$2:$C$20,'Annual totals'!$A$2:$A$20,A125)</x:f>
        <x:v>38.623102167894125</x:v>
      </x:c>
    </x:row>
    <x:row r="126" ht="23" customHeight="1">
      <x:c r="A126" s="4" t="n">
        <x:v>1928</x:v>
      </x:c>
      <x:c r="B126" s="14" t="str">
        <x:v>Hungary</x:v>
      </x:c>
      <x:c r="C126" s="6" t="n">
        <x:v>1467.669</x:v>
      </x:c>
      <x:c r="D126" s="6" t="n">
        <x:v>849.191</x:v>
      </x:c>
      <x:c r="E126" s="17" t="n">
        <x:f>C126-D126</x:f>
        <x:v>618.4780000000001</x:v>
      </x:c>
      <x:c r="F126" s="53" t="n">
        <x:f>100*C126/SUMIFS('Annual totals'!$B$2:$B$20,'Annual totals'!$A$2:$A$20,A126)</x:f>
        <x:v>6.915069775738662</x:v>
      </x:c>
      <x:c r="G126" s="53" t="n">
        <x:f>100*D126/SUMIFS('Annual totals'!$C$2:$C$20,'Annual totals'!$A$2:$A$20,A126)</x:f>
        <x:v>4.421050023003553</x:v>
      </x:c>
    </x:row>
    <x:row r="127" ht="23" customHeight="1">
      <x:c r="A127" s="4" t="n">
        <x:v>1928</x:v>
      </x:c>
      <x:c r="B127" s="14" t="str">
        <x:v>Italy</x:v>
      </x:c>
      <x:c r="C127" s="6" t="n">
        <x:v>810.74</x:v>
      </x:c>
      <x:c r="D127" s="6" t="n">
        <x:v>642.262</x:v>
      </x:c>
      <x:c r="E127" s="17" t="n">
        <x:f>C127-D127</x:f>
        <x:v>168.47800000000007</x:v>
      </x:c>
      <x:c r="F127" s="53" t="n">
        <x:f>100*C127/SUMIFS('Annual totals'!$B$2:$B$20,'Annual totals'!$A$2:$A$20,A127)</x:f>
        <x:v>3.819882868672951</x:v>
      </x:c>
      <x:c r="G127" s="53" t="n">
        <x:f>100*D127/SUMIFS('Annual totals'!$C$2:$C$20,'Annual totals'!$A$2:$A$20,A127)</x:f>
        <x:v>3.3437382519059993</x:v>
      </x:c>
    </x:row>
    <x:row r="128" ht="23" customHeight="1">
      <x:c r="A128" s="4" t="n">
        <x:v>1928</x:v>
      </x:c>
      <x:c r="B128" s="14" t="str">
        <x:v>Netherlands</x:v>
      </x:c>
      <x:c r="C128" s="6" t="n">
        <x:v>386.202</x:v>
      </x:c>
      <x:c r="D128" s="6" t="n">
        <x:v>269.846</x:v>
      </x:c>
      <x:c r="E128" s="17" t="n">
        <x:f>C128-D128</x:f>
        <x:v>116.356</x:v>
      </x:c>
      <x:c r="F128" s="53" t="n">
        <x:f>100*C128/SUMIFS('Annual totals'!$B$2:$B$20,'Annual totals'!$A$2:$A$20,A128)</x:f>
        <x:v>1.8196294788060672</x:v>
      </x:c>
      <x:c r="G128" s="53" t="n">
        <x:f>100*D128/SUMIFS('Annual totals'!$C$2:$C$20,'Annual totals'!$A$2:$A$20,A128)</x:f>
        <x:v>1.404869651830291</x:v>
      </x:c>
    </x:row>
    <x:row r="129" ht="23" customHeight="1">
      <x:c r="A129" s="4" t="n">
        <x:v>1928</x:v>
      </x:c>
      <x:c r="B129" s="14" t="str">
        <x:v>Poland</x:v>
      </x:c>
      <x:c r="C129" s="6" t="n">
        <x:v>868.617</x:v>
      </x:c>
      <x:c r="D129" s="6" t="n">
        <x:v>1265.719</x:v>
      </x:c>
      <x:c r="E129" s="17" t="n">
        <x:f>C129-D129</x:f>
        <x:v>-397.1020000000001</x:v>
      </x:c>
      <x:c r="F129" s="53" t="n">
        <x:f>100*C129/SUMIFS('Annual totals'!$B$2:$B$20,'Annual totals'!$A$2:$A$20,A129)</x:f>
        <x:v>4.0925761621951455</x:v>
      </x:c>
      <x:c r="G129" s="53" t="n">
        <x:f>100*D129/SUMIFS('Annual totals'!$C$2:$C$20,'Annual totals'!$A$2:$A$20,A129)</x:f>
        <x:v>6.589574093538478</x:v>
      </x:c>
    </x:row>
    <x:row r="130" ht="23" customHeight="1">
      <x:c r="A130" s="4" t="n">
        <x:v>1928</x:v>
      </x:c>
      <x:c r="B130" s="14" t="str">
        <x:v>Romania</x:v>
      </x:c>
      <x:c r="C130" s="6" t="n">
        <x:v>870.132</x:v>
      </x:c>
      <x:c r="D130" s="6" t="n">
        <x:v>535.655</x:v>
      </x:c>
      <x:c r="E130" s="17" t="n">
        <x:f>C130-D130</x:f>
        <x:v>334.477</x:v>
      </x:c>
      <x:c r="F130" s="53" t="n">
        <x:f>100*C130/SUMIFS('Annual totals'!$B$2:$B$20,'Annual totals'!$A$2:$A$20,A130)</x:f>
        <x:v>4.099714236727103</x:v>
      </x:c>
      <x:c r="G130" s="53" t="n">
        <x:f>100*D130/SUMIFS('Annual totals'!$C$2:$C$20,'Annual totals'!$A$2:$A$20,A130)</x:f>
        <x:v>2.788721913058391</x:v>
      </x:c>
    </x:row>
    <x:row r="131" ht="23" customHeight="1">
      <x:c r="A131" s="4" t="n">
        <x:v>1928</x:v>
      </x:c>
      <x:c r="B131" s="14" t="str">
        <x:v>Sweden</x:v>
      </x:c>
      <x:c r="C131" s="6" t="n">
        <x:v>298.553</x:v>
      </x:c>
      <x:c r="D131" s="6" t="n">
        <x:v>263.545</x:v>
      </x:c>
      <x:c r="E131" s="17" t="n">
        <x:f>C131-D131</x:f>
        <x:v>35.00799999999998</x:v>
      </x:c>
      <x:c r="F131" s="53" t="n">
        <x:f>100*C131/SUMIFS('Annual totals'!$B$2:$B$20,'Annual totals'!$A$2:$A$20,A131)</x:f>
        <x:v>1.40666241963011</x:v>
      </x:c>
      <x:c r="G131" s="53" t="n">
        <x:f>100*D131/SUMIFS('Annual totals'!$C$2:$C$20,'Annual totals'!$A$2:$A$20,A131)</x:f>
        <x:v>1.3720654461863955</x:v>
      </x:c>
    </x:row>
    <x:row r="132" ht="23" customHeight="1">
      <x:c r="A132" s="4" t="n">
        <x:v>1928</x:v>
      </x:c>
      <x:c r="B132" s="14" t="str">
        <x:v>Switzerland</x:v>
      </x:c>
      <x:c r="C132" s="6" t="n">
        <x:v>619.486</x:v>
      </x:c>
      <x:c r="D132" s="6" t="n">
        <x:v>478.472</x:v>
      </x:c>
      <x:c r="E132" s="17" t="n">
        <x:f>C132-D132</x:f>
        <x:v>141.014</x:v>
      </x:c>
      <x:c r="F132" s="53" t="n">
        <x:f>100*C132/SUMIFS('Annual totals'!$B$2:$B$20,'Annual totals'!$A$2:$A$20,A132)</x:f>
        <x:v>2.9187704551184495</x:v>
      </x:c>
      <x:c r="G132" s="53" t="n">
        <x:f>100*D132/SUMIFS('Annual totals'!$C$2:$C$20,'Annual totals'!$A$2:$A$20,A132)</x:f>
        <x:v>2.4910163280187327</x:v>
      </x:c>
    </x:row>
    <x:row r="133" ht="23" customHeight="1">
      <x:c r="A133" s="4" t="n">
        <x:v>1928</x:v>
      </x:c>
      <x:c r="B133" s="14" t="str">
        <x:v>USSR</x:v>
      </x:c>
      <x:c r="C133" s="6" t="n">
        <x:v>279.311</x:v>
      </x:c>
      <x:c r="D133" s="6" t="n">
        <x:v>190.61</x:v>
      </x:c>
      <x:c r="E133" s="17" t="n">
        <x:f>C133-D133</x:f>
        <x:v>88.70099999999996</x:v>
      </x:c>
      <x:c r="F133" s="53" t="n">
        <x:f>100*C133/SUMIFS('Annual totals'!$B$2:$B$20,'Annual totals'!$A$2:$A$20,A133)</x:f>
        <x:v>1.3160018056737186</x:v>
      </x:c>
      <x:c r="G133" s="53" t="n">
        <x:f>100*D133/SUMIFS('Annual totals'!$C$2:$C$20,'Annual totals'!$A$2:$A$20,A133)</x:f>
        <x:v>0.992351950132193</x:v>
      </x:c>
    </x:row>
    <x:row r="134" ht="23" customHeight="1">
      <x:c r="A134" s="4" t="n">
        <x:v>1928</x:v>
      </x:c>
      <x:c r="B134" s="14" t="str">
        <x:v>United Kingdom</x:v>
      </x:c>
      <x:c r="C134" s="6" t="n">
        <x:v>1477.877</x:v>
      </x:c>
      <x:c r="D134" s="6" t="n">
        <x:v>831.291</x:v>
      </x:c>
      <x:c r="E134" s="17" t="n">
        <x:f>C134-D134</x:f>
        <x:v>646.5859999999999</x:v>
      </x:c>
      <x:c r="F134" s="53" t="n">
        <x:f>100*C134/SUMIFS('Annual totals'!$B$2:$B$20,'Annual totals'!$A$2:$A$20,A134)</x:f>
        <x:v>6.963165792122967</x:v>
      </x:c>
      <x:c r="G134" s="53" t="n">
        <x:f>100*D134/SUMIFS('Annual totals'!$C$2:$C$20,'Annual totals'!$A$2:$A$20,A134)</x:f>
        <x:v>4.32785921503248</x:v>
      </x:c>
    </x:row>
    <x:row r="135" ht="23" customHeight="1">
      <x:c r="A135" s="4" t="n">
        <x:v>1928</x:v>
      </x:c>
      <x:c r="B135" s="14" t="str">
        <x:v>United States</x:v>
      </x:c>
      <x:c r="C135" s="6" t="n">
        <x:v>1170.437</x:v>
      </x:c>
      <x:c r="D135" s="6" t="n">
        <x:v>1149.061</x:v>
      </x:c>
      <x:c r="E135" s="17" t="n">
        <x:f>C135-D135</x:f>
        <x:v>21.375999999999976</x:v>
      </x:c>
      <x:c r="F135" s="53" t="n">
        <x:f>100*C135/SUMIFS('Annual totals'!$B$2:$B$20,'Annual totals'!$A$2:$A$20,A135)</x:f>
        <x:v>5.514631380172388</x:v>
      </x:c>
      <x:c r="G135" s="53" t="n">
        <x:f>100*D135/SUMIFS('Annual totals'!$C$2:$C$20,'Annual totals'!$A$2:$A$20,A135)</x:f>
        <x:v>5.982230335086553</x:v>
      </x:c>
    </x:row>
    <x:row r="136" ht="23" customHeight="1">
      <x:c r="A136" s="4" t="n">
        <x:v>1928</x:v>
      </x:c>
      <x:c r="B136" s="14" t="str">
        <x:v>Yugoslavia</x:v>
      </x:c>
      <x:c r="C136" s="6" t="n">
        <x:v>948.055</x:v>
      </x:c>
      <x:c r="D136" s="6" t="n">
        <x:v>449.564</x:v>
      </x:c>
      <x:c r="E136" s="17" t="n">
        <x:f>C136-D136</x:f>
        <x:v>498.49099999999993</x:v>
      </x:c>
      <x:c r="F136" s="53" t="n">
        <x:f>100*C136/SUMIFS('Annual totals'!$B$2:$B$20,'Annual totals'!$A$2:$A$20,A136)</x:f>
        <x:v>4.466856270887997</x:v>
      </x:c>
      <x:c r="G136" s="53" t="n">
        <x:f>100*D136/SUMIFS('Annual totals'!$C$2:$C$20,'Annual totals'!$A$2:$A$20,A136)</x:f>
        <x:v>2.3405157762406446</x:v>
      </x:c>
    </x:row>
    <x:row r="137" ht="23" customHeight="1">
      <x:c r="A137" s="4" t="n">
        <x:v>1929</x:v>
      </x:c>
      <x:c r="B137" s="14" t="str">
        <x:v>Austria</x:v>
      </x:c>
      <x:c r="C137" s="6" t="n">
        <x:v>3074.034</x:v>
      </x:c>
      <x:c r="D137" s="6" t="n">
        <x:v>1565.345</x:v>
      </x:c>
      <x:c r="E137" s="17" t="n">
        <x:f>C137-D137</x:f>
        <x:v>1508.689</x:v>
      </x:c>
      <x:c r="F137" s="53" t="n">
        <x:f>100*C137/SUMIFS('Annual totals'!$B$2:$B$20,'Annual totals'!$A$2:$A$20,A137)</x:f>
        <x:v>14.996115151523728</x:v>
      </x:c>
      <x:c r="G137" s="53" t="n">
        <x:f>100*D137/SUMIFS('Annual totals'!$C$2:$C$20,'Annual totals'!$A$2:$A$20,A137)</x:f>
        <x:v>7.843251515267821</x:v>
      </x:c>
    </x:row>
    <x:row r="138" ht="23" customHeight="1">
      <x:c r="A138" s="4" t="n">
        <x:v>1929</x:v>
      </x:c>
      <x:c r="B138" s="14" t="str">
        <x:v>Belgium and Luxembourg</x:v>
      </x:c>
      <x:c r="C138" s="6" t="n">
        <x:v>188.405</x:v>
      </x:c>
      <x:c r="D138" s="6" t="n">
        <x:v>313.032</x:v>
      </x:c>
      <x:c r="E138" s="17" t="n">
        <x:f>C138-D138</x:f>
        <x:v>-124.62699999999998</x:v>
      </x:c>
      <x:c r="F138" s="53" t="n">
        <x:f>100*C138/SUMIFS('Annual totals'!$B$2:$B$20,'Annual totals'!$A$2:$A$20,A138)</x:f>
        <x:v>0.919099487879063</x:v>
      </x:c>
      <x:c r="G138" s="53" t="n">
        <x:f>100*D138/SUMIFS('Annual totals'!$C$2:$C$20,'Annual totals'!$A$2:$A$20,A138)</x:f>
        <x:v>1.5684649124169536</x:v>
      </x:c>
    </x:row>
    <x:row r="139" ht="23" customHeight="1">
      <x:c r="A139" s="4" t="n">
        <x:v>1929</x:v>
      </x:c>
      <x:c r="B139" s="14" t="str">
        <x:v>France</x:v>
      </x:c>
      <x:c r="C139" s="6" t="n">
        <x:v>332</x:v>
      </x:c>
      <x:c r="D139" s="6" t="n">
        <x:v>770</x:v>
      </x:c>
      <x:c r="E139" s="17" t="n">
        <x:f>C139-D139</x:f>
        <x:v>-438</x:v>
      </x:c>
      <x:c r="F139" s="53" t="n">
        <x:f>100*C139/SUMIFS('Annual totals'!$B$2:$B$20,'Annual totals'!$A$2:$A$20,A139)</x:f>
        <x:v>1.619601549724524</x:v>
      </x:c>
      <x:c r="G139" s="53" t="n">
        <x:f>100*D139/SUMIFS('Annual totals'!$C$2:$C$20,'Annual totals'!$A$2:$A$20,A139)</x:f>
        <x:v>3.858129464594848</x:v>
      </x:c>
    </x:row>
    <x:row r="140" ht="23" customHeight="1">
      <x:c r="A140" s="4" t="n">
        <x:v>1929</x:v>
      </x:c>
      <x:c r="B140" s="14" t="str">
        <x:v>Germany</x:v>
      </x:c>
      <x:c r="C140" s="6" t="n">
        <x:v>4691.837</x:v>
      </x:c>
      <x:c r="D140" s="6" t="n">
        <x:v>7674.634</x:v>
      </x:c>
      <x:c r="E140" s="17" t="n">
        <x:f>C140-D140</x:f>
        <x:v>-2982.7969999999996</x:v>
      </x:c>
      <x:c r="F140" s="53" t="n">
        <x:f>100*C140/SUMIFS('Annual totals'!$B$2:$B$20,'Annual totals'!$A$2:$A$20,A140)</x:f>
        <x:v>22.888272518839948</x:v>
      </x:c>
      <x:c r="G140" s="53" t="n">
        <x:f>100*D140/SUMIFS('Annual totals'!$C$2:$C$20,'Annual totals'!$A$2:$A$20,A140)</x:f>
        <x:v>38.454196838157685</x:v>
      </x:c>
    </x:row>
    <x:row r="141" ht="23" customHeight="1">
      <x:c r="A141" s="4" t="n">
        <x:v>1929</x:v>
      </x:c>
      <x:c r="B141" s="14" t="str">
        <x:v>Hungary</x:v>
      </x:c>
      <x:c r="C141" s="6" t="n">
        <x:v>1305.69</x:v>
      </x:c>
      <x:c r="D141" s="6" t="n">
        <x:v>967.031</x:v>
      </x:c>
      <x:c r="E141" s="17" t="n">
        <x:f>C141-D141</x:f>
        <x:v>338.6590000000001</x:v>
      </x:c>
      <x:c r="F141" s="53" t="n">
        <x:f>100*C141/SUMIFS('Annual totals'!$B$2:$B$20,'Annual totals'!$A$2:$A$20,A141)</x:f>
        <x:v>6.369570926083776</x:v>
      </x:c>
      <x:c r="G141" s="53" t="n">
        <x:f>100*D141/SUMIFS('Annual totals'!$C$2:$C$20,'Annual totals'!$A$2:$A$20,A141)</x:f>
        <x:v>4.845364667891714</x:v>
      </x:c>
    </x:row>
    <x:row r="142" ht="23" customHeight="1">
      <x:c r="A142" s="4" t="n">
        <x:v>1929</x:v>
      </x:c>
      <x:c r="B142" s="14" t="str">
        <x:v>Italy</x:v>
      </x:c>
      <x:c r="C142" s="6" t="n">
        <x:v>781.429</x:v>
      </x:c>
      <x:c r="D142" s="6" t="n">
        <x:v>725.101</x:v>
      </x:c>
      <x:c r="E142" s="17" t="n">
        <x:f>C142-D142</x:f>
        <x:v>56.327999999999975</x:v>
      </x:c>
      <x:c r="F142" s="53" t="n">
        <x:f>100*C142/SUMIFS('Annual totals'!$B$2:$B$20,'Annual totals'!$A$2:$A$20,A142)</x:f>
        <x:v>3.8120590945773642</x:v>
      </x:c>
      <x:c r="G142" s="53" t="n">
        <x:f>100*D142/SUMIFS('Annual totals'!$C$2:$C$20,'Annual totals'!$A$2:$A$20,A142)</x:f>
        <x:v>3.633160432346999</x:v>
      </x:c>
    </x:row>
    <x:row r="143" ht="23" customHeight="1">
      <x:c r="A143" s="4" t="n">
        <x:v>1929</x:v>
      </x:c>
      <x:c r="B143" s="14" t="str">
        <x:v>Netherlands</x:v>
      </x:c>
      <x:c r="C143" s="6" t="n">
        <x:v>441.701</x:v>
      </x:c>
      <x:c r="D143" s="6" t="n">
        <x:v>311.537</x:v>
      </x:c>
      <x:c r="E143" s="17" t="n">
        <x:f>C143-D143</x:f>
        <x:v>130.16400000000004</x:v>
      </x:c>
      <x:c r="F143" s="53" t="n">
        <x:f>100*C143/SUMIFS('Annual totals'!$B$2:$B$20,'Annual totals'!$A$2:$A$20,A143)</x:f>
        <x:v>2.154757903960458</x:v>
      </x:c>
      <x:c r="G143" s="53" t="n">
        <x:f>100*D143/SUMIFS('Annual totals'!$C$2:$C$20,'Annual totals'!$A$2:$A$20,A143)</x:f>
        <x:v>1.560974128586344</x:v>
      </x:c>
    </x:row>
    <x:row r="144" ht="23" customHeight="1">
      <x:c r="A144" s="4" t="n">
        <x:v>1929</x:v>
      </x:c>
      <x:c r="B144" s="14" t="str">
        <x:v>Poland</x:v>
      </x:c>
      <x:c r="C144" s="6" t="n">
        <x:v>905.149</x:v>
      </x:c>
      <x:c r="D144" s="6" t="n">
        <x:v>1307.24</x:v>
      </x:c>
      <x:c r="E144" s="17" t="n">
        <x:f>C144-D144</x:f>
        <x:v>-402.091</x:v>
      </x:c>
      <x:c r="F144" s="53" t="n">
        <x:f>100*C144/SUMIFS('Annual totals'!$B$2:$B$20,'Annual totals'!$A$2:$A$20,A144)</x:f>
        <x:v>4.415604587745793</x:v>
      </x:c>
      <x:c r="G144" s="53" t="n">
        <x:f>100*D144/SUMIFS('Annual totals'!$C$2:$C$20,'Annual totals'!$A$2:$A$20,A144)</x:f>
        <x:v>6.550001508177882</x:v>
      </x:c>
    </x:row>
    <x:row r="145" ht="23" customHeight="1">
      <x:c r="A145" s="4" t="n">
        <x:v>1929</x:v>
      </x:c>
      <x:c r="B145" s="14" t="str">
        <x:v>Romania</x:v>
      </x:c>
      <x:c r="C145" s="6" t="n">
        <x:v>769.684</x:v>
      </x:c>
      <x:c r="D145" s="6" t="n">
        <x:v>473.465</x:v>
      </x:c>
      <x:c r="E145" s="17" t="n">
        <x:f>C145-D145</x:f>
        <x:v>296.219</x:v>
      </x:c>
      <x:c r="F145" s="53" t="n">
        <x:f>100*C145/SUMIFS('Annual totals'!$B$2:$B$20,'Annual totals'!$A$2:$A$20,A145)</x:f>
        <x:v>3.754763250596899</x:v>
      </x:c>
      <x:c r="G145" s="53" t="n">
        <x:f>100*D145/SUMIFS('Annual totals'!$C$2:$C$20,'Annual totals'!$A$2:$A$20,A145)</x:f>
        <x:v>2.372323723317402</x:v>
      </x:c>
    </x:row>
    <x:row r="146" ht="23" customHeight="1">
      <x:c r="A146" s="4" t="n">
        <x:v>1929</x:v>
      </x:c>
      <x:c r="B146" s="14" t="str">
        <x:v>Sweden</x:v>
      </x:c>
      <x:c r="C146" s="6" t="n">
        <x:v>308.359</x:v>
      </x:c>
      <x:c r="D146" s="6" t="n">
        <x:v>326.319</x:v>
      </x:c>
      <x:c r="E146" s="17" t="n">
        <x:f>C146-D146</x:f>
        <x:v>-17.960000000000036</x:v>
      </x:c>
      <x:c r="F146" s="53" t="n">
        <x:f>100*C146/SUMIFS('Annual totals'!$B$2:$B$20,'Annual totals'!$A$2:$A$20,A146)</x:f>
        <x:v>1.5042732357575435</x:v>
      </x:c>
      <x:c r="G146" s="53" t="n">
        <x:f>100*D146/SUMIFS('Annual totals'!$C$2:$C$20,'Annual totals'!$A$2:$A$20,A146)</x:f>
        <x:v>1.635040193191073</x:v>
      </x:c>
    </x:row>
    <x:row r="147" ht="23" customHeight="1">
      <x:c r="A147" s="4" t="n">
        <x:v>1929</x:v>
      </x:c>
      <x:c r="B147" s="14" t="str">
        <x:v>Switzerland</x:v>
      </x:c>
      <x:c r="C147" s="6" t="n">
        <x:v>559.106</x:v>
      </x:c>
      <x:c r="D147" s="6" t="n">
        <x:v>485.306</x:v>
      </x:c>
      <x:c r="E147" s="17" t="n">
        <x:f>C147-D147</x:f>
        <x:v>73.80000000000001</x:v>
      </x:c>
      <x:c r="F147" s="53" t="n">
        <x:f>100*C147/SUMIFS('Annual totals'!$B$2:$B$20,'Annual totals'!$A$2:$A$20,A147)</x:f>
        <x:v>2.7274968194586737</x:v>
      </x:c>
      <x:c r="G147" s="53" t="n">
        <x:f>100*D147/SUMIFS('Annual totals'!$C$2:$C$20,'Annual totals'!$A$2:$A$20,A147)</x:f>
        <x:v>2.431653737590477</x:v>
      </x:c>
    </x:row>
    <x:row r="148" ht="23" customHeight="1">
      <x:c r="A148" s="4" t="n">
        <x:v>1929</x:v>
      </x:c>
      <x:c r="B148" s="14" t="str">
        <x:v>USSR</x:v>
      </x:c>
      <x:c r="C148" s="6" t="n">
        <x:v>258.727</x:v>
      </x:c>
      <x:c r="D148" s="6" t="n">
        <x:v>256.654</x:v>
      </x:c>
      <x:c r="E148" s="17" t="n">
        <x:f>C148-D148</x:f>
        <x:v>2.072999999999979</x:v>
      </x:c>
      <x:c r="F148" s="53" t="n">
        <x:f>100*C148/SUMIFS('Annual totals'!$B$2:$B$20,'Annual totals'!$A$2:$A$20,A148)</x:f>
        <x:v>1.262152560709569</x:v>
      </x:c>
      <x:c r="G148" s="53" t="n">
        <x:f>100*D148/SUMIFS('Annual totals'!$C$2:$C$20,'Annual totals'!$A$2:$A$20,A148)</x:f>
        <x:v>1.2859796878001637</x:v>
      </x:c>
    </x:row>
    <x:row r="149" ht="23" customHeight="1">
      <x:c r="A149" s="4" t="n">
        <x:v>1929</x:v>
      </x:c>
      <x:c r="B149" s="14" t="str">
        <x:v>United Kingdom</x:v>
      </x:c>
      <x:c r="C149" s="6" t="n">
        <x:v>1420.132</x:v>
      </x:c>
      <x:c r="D149" s="6" t="n">
        <x:v>817.257</x:v>
      </x:c>
      <x:c r="E149" s="17" t="n">
        <x:f>C149-D149</x:f>
        <x:v>602.8750000000001</x:v>
      </x:c>
      <x:c r="F149" s="53" t="n">
        <x:f>100*C149/SUMIFS('Annual totals'!$B$2:$B$20,'Annual totals'!$A$2:$A$20,A149)</x:f>
        <x:v>6.927855385582493</x:v>
      </x:c>
      <x:c r="G149" s="53" t="n">
        <x:f>100*D149/SUMIFS('Annual totals'!$C$2:$C$20,'Annual totals'!$A$2:$A$20,A149)</x:f>
        <x:v>4.0949133920083005</x:v>
      </x:c>
    </x:row>
    <x:row r="150" ht="23" customHeight="1">
      <x:c r="A150" s="4" t="n">
        <x:v>1929</x:v>
      </x:c>
      <x:c r="B150" s="14" t="str">
        <x:v>United States</x:v>
      </x:c>
      <x:c r="C150" s="6" t="n">
        <x:v>1471.951</x:v>
      </x:c>
      <x:c r="D150" s="6" t="n">
        <x:v>1088.881</x:v>
      </x:c>
      <x:c r="E150" s="17" t="n">
        <x:f>C150-D150</x:f>
        <x:v>383.06999999999994</x:v>
      </x:c>
      <x:c r="F150" s="53" t="n">
        <x:f>100*C150/SUMIFS('Annual totals'!$B$2:$B$20,'Annual totals'!$A$2:$A$20,A150)</x:f>
        <x:v>7.180644941923382</x:v>
      </x:c>
      <x:c r="G150" s="53" t="n">
        <x:f>100*D150/SUMIFS('Annual totals'!$C$2:$C$20,'Annual totals'!$A$2:$A$20,A150)</x:f>
        <x:v>5.455901129269484</x:v>
      </x:c>
    </x:row>
    <x:row r="151" ht="23" customHeight="1">
      <x:c r="A151" s="4" t="n">
        <x:v>1929</x:v>
      </x:c>
      <x:c r="B151" s="14" t="str">
        <x:v>Yugoslavia</x:v>
      </x:c>
      <x:c r="C151" s="6" t="n">
        <x:v>1154.595</x:v>
      </x:c>
      <x:c r="D151" s="6" t="n">
        <x:v>340.081</x:v>
      </x:c>
      <x:c r="E151" s="17" t="n">
        <x:f>C151-D151</x:f>
        <x:v>814.514</x:v>
      </x:c>
      <x:c r="F151" s="53" t="n">
        <x:f>100*C151/SUMIFS('Annual totals'!$B$2:$B$20,'Annual totals'!$A$2:$A$20,A151)</x:f>
        <x:v>5.632481479831887</x:v>
      </x:c>
      <x:c r="G151" s="53" t="n">
        <x:f>100*D151/SUMIFS('Annual totals'!$C$2:$C$20,'Annual totals'!$A$2:$A$20,A151)</x:f>
        <x:v>1.7039954888946498</x:v>
      </x:c>
    </x:row>
    <x:row r="152" ht="23" customHeight="1">
      <x:c r="A152" s="4" t="n">
        <x:v>1930</x:v>
      </x:c>
      <x:c r="B152" s="14" t="str">
        <x:v>Austria</x:v>
      </x:c>
      <x:c r="C152" s="6" t="n">
        <x:v>2439.131</x:v>
      </x:c>
      <x:c r="D152" s="6" t="n">
        <x:v>1210.672</x:v>
      </x:c>
      <x:c r="E152" s="17" t="n">
        <x:f>C152-D152</x:f>
        <x:v>1228.4589999999998</x:v>
      </x:c>
      <x:c r="F152" s="53" t="n">
        <x:f>100*C152/SUMIFS('Annual totals'!$B$2:$B$20,'Annual totals'!$A$2:$A$20,A152)</x:f>
        <x:v>13.958844052318073</x:v>
      </x:c>
      <x:c r="G152" s="53" t="n">
        <x:f>100*D152/SUMIFS('Annual totals'!$C$2:$C$20,'Annual totals'!$A$2:$A$20,A152)</x:f>
        <x:v>7.704169835978904</x:v>
      </x:c>
    </x:row>
    <x:row r="153" ht="23" customHeight="1">
      <x:c r="A153" s="4" t="n">
        <x:v>1930</x:v>
      </x:c>
      <x:c r="B153" s="14" t="str">
        <x:v>Belgium and Luxembourg</x:v>
      </x:c>
      <x:c r="C153" s="6" t="n">
        <x:v>243.591</x:v>
      </x:c>
      <x:c r="D153" s="6" t="n">
        <x:v>235.4</x:v>
      </x:c>
      <x:c r="E153" s="17" t="n">
        <x:f>C153-D153</x:f>
        <x:v>8.191000000000003</x:v>
      </x:c>
      <x:c r="F153" s="53" t="n">
        <x:f>100*C153/SUMIFS('Annual totals'!$B$2:$B$20,'Annual totals'!$A$2:$A$20,A153)</x:f>
        <x:v>1.3940410668997327</x:v>
      </x:c>
      <x:c r="G153" s="53" t="n">
        <x:f>100*D153/SUMIFS('Annual totals'!$C$2:$C$20,'Annual totals'!$A$2:$A$20,A153)</x:f>
        <x:v>1.4979792870318585</x:v>
      </x:c>
    </x:row>
    <x:row r="154" ht="23" customHeight="1">
      <x:c r="A154" s="4" t="n">
        <x:v>1930</x:v>
      </x:c>
      <x:c r="B154" s="14" t="str">
        <x:v>France</x:v>
      </x:c>
      <x:c r="C154" s="6" t="n">
        <x:v>414</x:v>
      </x:c>
      <x:c r="D154" s="6" t="n">
        <x:v>572</x:v>
      </x:c>
      <x:c r="E154" s="17" t="n">
        <x:f>C154-D154</x:f>
        <x:v>-158</x:v>
      </x:c>
      <x:c r="F154" s="53" t="n">
        <x:f>100*C154/SUMIFS('Annual totals'!$B$2:$B$20,'Annual totals'!$A$2:$A$20,A154)</x:f>
        <x:v>2.369270628621293</x:v>
      </x:c>
      <x:c r="G154" s="53" t="n">
        <x:f>100*D154/SUMIFS('Annual totals'!$C$2:$C$20,'Annual totals'!$A$2:$A$20,A154)</x:f>
        <x:v>3.639949669423207</x:v>
      </x:c>
    </x:row>
    <x:row r="155" ht="23" customHeight="1">
      <x:c r="A155" s="4" t="n">
        <x:v>1930</x:v>
      </x:c>
      <x:c r="B155" s="14" t="str">
        <x:v>Germany</x:v>
      </x:c>
      <x:c r="C155" s="6" t="n">
        <x:v>3571.427</x:v>
      </x:c>
      <x:c r="D155" s="6" t="n">
        <x:v>6010.86</x:v>
      </x:c>
      <x:c r="E155" s="17" t="n">
        <x:f>C155-D155</x:f>
        <x:v>-2439.4329999999995</x:v>
      </x:c>
      <x:c r="F155" s="53" t="n">
        <x:f>100*C155/SUMIFS('Annual totals'!$B$2:$B$20,'Annual totals'!$A$2:$A$20,A155)</x:f>
        <x:v>20.438833558852796</x:v>
      </x:c>
      <x:c r="G155" s="53" t="n">
        <x:f>100*D155/SUMIFS('Annual totals'!$C$2:$C$20,'Annual totals'!$A$2:$A$20,A155)</x:f>
        <x:v>38.250398374037026</x:v>
      </x:c>
    </x:row>
    <x:row r="156" ht="23" customHeight="1">
      <x:c r="A156" s="4" t="n">
        <x:v>1930</x:v>
      </x:c>
      <x:c r="B156" s="14" t="str">
        <x:v>Hungary</x:v>
      </x:c>
      <x:c r="C156" s="6" t="n">
        <x:v>1004.456</x:v>
      </x:c>
      <x:c r="D156" s="6" t="n">
        <x:v>929.98</x:v>
      </x:c>
      <x:c r="E156" s="17" t="n">
        <x:f>C156-D156</x:f>
        <x:v>74.476</x:v>
      </x:c>
      <x:c r="F156" s="53" t="n">
        <x:f>100*C156/SUMIFS('Annual totals'!$B$2:$B$20,'Annual totals'!$A$2:$A$20,A156)</x:f>
        <x:v>5.748377049619394</x:v>
      </x:c>
      <x:c r="G156" s="53" t="n">
        <x:f>100*D156/SUMIFS('Annual totals'!$C$2:$C$20,'Annual totals'!$A$2:$A$20,A156)</x:f>
        <x:v>5.917972716031808</x:v>
      </x:c>
    </x:row>
    <x:row r="157" ht="23" customHeight="1">
      <x:c r="A157" s="4" t="n">
        <x:v>1930</x:v>
      </x:c>
      <x:c r="B157" s="14" t="str">
        <x:v>Italy</x:v>
      </x:c>
      <x:c r="C157" s="6" t="n">
        <x:v>662.453</x:v>
      </x:c>
      <x:c r="D157" s="6" t="n">
        <x:v>524.207</x:v>
      </x:c>
      <x:c r="E157" s="17" t="n">
        <x:f>C157-D157</x:f>
        <x:v>138.24599999999998</x:v>
      </x:c>
      <x:c r="F157" s="53" t="n">
        <x:f>100*C157/SUMIFS('Annual totals'!$B$2:$B$20,'Annual totals'!$A$2:$A$20,A157)</x:f>
        <x:v>3.7911363182175397</x:v>
      </x:c>
      <x:c r="G157" s="53" t="n">
        <x:f>100*D157/SUMIFS('Annual totals'!$C$2:$C$20,'Annual totals'!$A$2:$A$20,A157)</x:f>
        <x:v>3.3358166020268025</x:v>
      </x:c>
    </x:row>
    <x:row r="158" ht="23" customHeight="1">
      <x:c r="A158" s="4" t="n">
        <x:v>1930</x:v>
      </x:c>
      <x:c r="B158" s="14" t="str">
        <x:v>Netherlands</x:v>
      </x:c>
      <x:c r="C158" s="6" t="n">
        <x:v>442.252</x:v>
      </x:c>
      <x:c r="D158" s="6" t="n">
        <x:v>206.922</x:v>
      </x:c>
      <x:c r="E158" s="17" t="n">
        <x:f>C158-D158</x:f>
        <x:v>235.33</x:v>
      </x:c>
      <x:c r="F158" s="53" t="n">
        <x:f>100*C158/SUMIFS('Annual totals'!$B$2:$B$20,'Annual totals'!$A$2:$A$20,A158)</x:f>
        <x:v>2.5309533189589954</x:v>
      </x:c>
      <x:c r="G158" s="53" t="n">
        <x:f>100*D158/SUMIFS('Annual totals'!$C$2:$C$20,'Annual totals'!$A$2:$A$20,A158)</x:f>
        <x:v>1.3167581564622184</x:v>
      </x:c>
    </x:row>
    <x:row r="159" ht="23" customHeight="1">
      <x:c r="A159" s="4" t="n">
        <x:v>1930</x:v>
      </x:c>
      <x:c r="B159" s="14" t="str">
        <x:v>Poland</x:v>
      </x:c>
      <x:c r="C159" s="6" t="n">
        <x:v>638.696</x:v>
      </x:c>
      <x:c r="D159" s="6" t="n">
        <x:v>879.611</x:v>
      </x:c>
      <x:c r="E159" s="17" t="n">
        <x:f>C159-D159</x:f>
        <x:v>-240.91499999999996</x:v>
      </x:c>
      <x:c r="F159" s="53" t="n">
        <x:f>100*C159/SUMIFS('Annual totals'!$B$2:$B$20,'Annual totals'!$A$2:$A$20,A159)</x:f>
        <x:v>3.6551779551157133</x:v>
      </x:c>
      <x:c r="G159" s="53" t="n">
        <x:f>100*D159/SUMIFS('Annual totals'!$C$2:$C$20,'Annual totals'!$A$2:$A$20,A159)</x:f>
        <x:v>5.597447148026253</x:v>
      </x:c>
    </x:row>
    <x:row r="160" ht="23" customHeight="1">
      <x:c r="A160" s="4" t="n">
        <x:v>1930</x:v>
      </x:c>
      <x:c r="B160" s="14" t="str">
        <x:v>Romania</x:v>
      </x:c>
      <x:c r="C160" s="6" t="n">
        <x:v>596.414</x:v>
      </x:c>
      <x:c r="D160" s="6" t="n">
        <x:v>562.421</x:v>
      </x:c>
      <x:c r="E160" s="17" t="n">
        <x:f>C160-D160</x:f>
        <x:v>33.99299999999994</x:v>
      </x:c>
      <x:c r="F160" s="53" t="n">
        <x:f>100*C160/SUMIFS('Annual totals'!$B$2:$B$20,'Annual totals'!$A$2:$A$20,A160)</x:f>
        <x:v>3.413203315696956</x:v>
      </x:c>
      <x:c r="G160" s="53" t="n">
        <x:f>100*D160/SUMIFS('Annual totals'!$C$2:$C$20,'Annual totals'!$A$2:$A$20,A160)</x:f>
        <x:v>3.578993239557115</x:v>
      </x:c>
    </x:row>
    <x:row r="161" ht="23" customHeight="1">
      <x:c r="A161" s="4" t="n">
        <x:v>1930</x:v>
      </x:c>
      <x:c r="B161" s="14" t="str">
        <x:v>Sweden</x:v>
      </x:c>
      <x:c r="C161" s="6" t="n">
        <x:v>331.243</x:v>
      </x:c>
      <x:c r="D161" s="6" t="n">
        <x:v>266.689</x:v>
      </x:c>
      <x:c r="E161" s="17" t="n">
        <x:f>C161-D161</x:f>
        <x:v>64.55399999999997</x:v>
      </x:c>
      <x:c r="F161" s="53" t="n">
        <x:f>100*C161/SUMIFS('Annual totals'!$B$2:$B$20,'Annual totals'!$A$2:$A$20,A161)</x:f>
        <x:v>1.8956625865613599</x:v>
      </x:c>
      <x:c r="G161" s="53" t="n">
        <x:f>100*D161/SUMIFS('Annual totals'!$C$2:$C$20,'Annual totals'!$A$2:$A$20,A161)</x:f>
        <x:v>1.6970883520783318</x:v>
      </x:c>
    </x:row>
    <x:row r="162" ht="23" customHeight="1">
      <x:c r="A162" s="4" t="n">
        <x:v>1930</x:v>
      </x:c>
      <x:c r="B162" s="14" t="str">
        <x:v>Switzerland</x:v>
      </x:c>
      <x:c r="C162" s="6" t="n">
        <x:v>504.638</x:v>
      </x:c>
      <x:c r="D162" s="6" t="n">
        <x:v>418.265</x:v>
      </x:c>
      <x:c r="E162" s="17" t="n">
        <x:f>C162-D162</x:f>
        <x:v>86.37299999999999</x:v>
      </x:c>
      <x:c r="F162" s="53" t="n">
        <x:f>100*C162/SUMIFS('Annual totals'!$B$2:$B$20,'Annual totals'!$A$2:$A$20,A162)</x:f>
        <x:v>2.8879806557637484</x:v>
      </x:c>
      <x:c r="G162" s="53" t="n">
        <x:f>100*D162/SUMIFS('Annual totals'!$C$2:$C$20,'Annual totals'!$A$2:$A$20,A162)</x:f>
        <x:v>2.661649560281989</x:v>
      </x:c>
    </x:row>
    <x:row r="163" ht="23" customHeight="1">
      <x:c r="A163" s="4" t="n">
        <x:v>1930</x:v>
      </x:c>
      <x:c r="B163" s="14" t="str">
        <x:v>USSR</x:v>
      </x:c>
      <x:c r="C163" s="6" t="n">
        <x:v>328.145</x:v>
      </x:c>
      <x:c r="D163" s="6" t="n">
        <x:v>301.586</x:v>
      </x:c>
      <x:c r="E163" s="17" t="n">
        <x:f>C163-D163</x:f>
        <x:v>26.55899999999997</x:v>
      </x:c>
      <x:c r="F163" s="53" t="n">
        <x:f>100*C163/SUMIFS('Annual totals'!$B$2:$B$20,'Annual totals'!$A$2:$A$20,A163)</x:f>
        <x:v>1.8779331169781017</x:v>
      </x:c>
      <x:c r="G163" s="53" t="n">
        <x:f>100*D163/SUMIFS('Annual totals'!$C$2:$C$20,'Annual totals'!$A$2:$A$20,A163)</x:f>
        <x:v>1.919157099655013</x:v>
      </x:c>
    </x:row>
    <x:row r="164" ht="23" customHeight="1">
      <x:c r="A164" s="4" t="n">
        <x:v>1930</x:v>
      </x:c>
      <x:c r="B164" s="14" t="str">
        <x:v>United Kingdom</x:v>
      </x:c>
      <x:c r="C164" s="6" t="n">
        <x:v>1377.797</x:v>
      </x:c>
      <x:c r="D164" s="6" t="n">
        <x:v>579.293</x:v>
      </x:c>
      <x:c r="E164" s="17" t="n">
        <x:f>C164-D164</x:f>
        <x:v>798.504</x:v>
      </x:c>
      <x:c r="F164" s="53" t="n">
        <x:f>100*C164/SUMIFS('Annual totals'!$B$2:$B$20,'Annual totals'!$A$2:$A$20,A164)</x:f>
        <x:v>7.884961266431236</x:v>
      </x:c>
      <x:c r="G164" s="53" t="n">
        <x:f>100*D164/SUMIFS('Annual totals'!$C$2:$C$20,'Annual totals'!$A$2:$A$20,A164)</x:f>
        <x:v>3.6863590277083533</x:v>
      </x:c>
    </x:row>
    <x:row r="165" ht="23" customHeight="1">
      <x:c r="A165" s="4" t="n">
        <x:v>1930</x:v>
      </x:c>
      <x:c r="B165" s="14" t="str">
        <x:v>United States</x:v>
      </x:c>
      <x:c r="C165" s="6" t="n">
        <x:v>976.946</x:v>
      </x:c>
      <x:c r="D165" s="6" t="n">
        <x:v>785.903</x:v>
      </x:c>
      <x:c r="E165" s="17" t="n">
        <x:f>C165-D165</x:f>
        <x:v>191.043</x:v>
      </x:c>
      <x:c r="F165" s="53" t="n">
        <x:f>100*C165/SUMIFS('Annual totals'!$B$2:$B$20,'Annual totals'!$A$2:$A$20,A165)</x:f>
        <x:v>5.590940733210284</x:v>
      </x:c>
      <x:c r="G165" s="53" t="n">
        <x:f>100*D165/SUMIFS('Annual totals'!$C$2:$C$20,'Annual totals'!$A$2:$A$20,A165)</x:f>
        <x:v>5.001131757078159</x:v>
      </x:c>
    </x:row>
    <x:row r="166" ht="23" customHeight="1">
      <x:c r="A166" s="4" t="n">
        <x:v>1930</x:v>
      </x:c>
      <x:c r="B166" s="14" t="str">
        <x:v>Yugoslavia</x:v>
      </x:c>
      <x:c r="C166" s="6" t="n">
        <x:v>1520.45</x:v>
      </x:c>
      <x:c r="D166" s="6" t="n">
        <x:v>438.875</x:v>
      </x:c>
      <x:c r="E166" s="17" t="n">
        <x:f>C166-D166</x:f>
        <x:v>1081.575</x:v>
      </x:c>
      <x:c r="F166" s="53" t="n">
        <x:f>100*C166/SUMIFS('Annual totals'!$B$2:$B$20,'Annual totals'!$A$2:$A$20,A166)</x:f>
        <x:v>8.701346684268707</x:v>
      </x:c>
      <x:c r="G166" s="53" t="n">
        <x:f>100*D166/SUMIFS('Annual totals'!$C$2:$C$20,'Annual totals'!$A$2:$A$20,A166)</x:f>
        <x:v>2.792802292251941</x:v>
      </x:c>
    </x:row>
    <x:row r="167" ht="23" customHeight="1">
      <x:c r="A167" s="4" t="n">
        <x:v>1931</x:v>
      </x:c>
      <x:c r="B167" s="14" t="str">
        <x:v>Austria</x:v>
      </x:c>
      <x:c r="C167" s="6" t="n">
        <x:v>1796.449</x:v>
      </x:c>
      <x:c r="D167" s="6" t="n">
        <x:v>852</x:v>
      </x:c>
      <x:c r="E167" s="17" t="n">
        <x:f>C167-D167</x:f>
        <x:v>944.4490000000001</x:v>
      </x:c>
      <x:c r="F167" s="53" t="n">
        <x:f>100*C167/SUMIFS('Annual totals'!$B$2:$B$20,'Annual totals'!$A$2:$A$20,A167)</x:f>
        <x:v>13.661839751842537</x:v>
      </x:c>
      <x:c r="G167" s="53" t="n">
        <x:f>100*D167/SUMIFS('Annual totals'!$C$2:$C$20,'Annual totals'!$A$2:$A$20,A167)</x:f>
        <x:v>7.220011635065698</x:v>
      </x:c>
    </x:row>
    <x:row r="168" ht="23" customHeight="1">
      <x:c r="A168" s="4" t="n">
        <x:v>1931</x:v>
      </x:c>
      <x:c r="B168" s="14" t="str">
        <x:v>Belgium and Luxembourg</x:v>
      </x:c>
      <x:c r="C168" s="6" t="n">
        <x:v>224.365</x:v>
      </x:c>
      <x:c r="D168" s="6" t="n">
        <x:v>176</x:v>
      </x:c>
      <x:c r="E168" s="17" t="n">
        <x:f>C168-D168</x:f>
        <x:v>48.36500000000001</x:v>
      </x:c>
      <x:c r="F168" s="53" t="n">
        <x:f>100*C168/SUMIFS('Annual totals'!$B$2:$B$20,'Annual totals'!$A$2:$A$20,A168)</x:f>
        <x:v>1.7062764798344685</x:v>
      </x:c>
      <x:c r="G168" s="53" t="n">
        <x:f>100*D168/SUMIFS('Annual totals'!$C$2:$C$20,'Annual totals'!$A$2:$A$20,A168)</x:f>
        <x:v>1.4914578025487828</x:v>
      </x:c>
    </x:row>
    <x:row r="169" ht="23" customHeight="1">
      <x:c r="A169" s="4" t="n">
        <x:v>1931</x:v>
      </x:c>
      <x:c r="B169" s="14" t="str">
        <x:v>France</x:v>
      </x:c>
      <x:c r="C169" s="6" t="n">
        <x:v>469</x:v>
      </x:c>
      <x:c r="D169" s="6" t="n">
        <x:v>455</x:v>
      </x:c>
      <x:c r="E169" s="17" t="n">
        <x:f>C169-D169</x:f>
        <x:v>14</x:v>
      </x:c>
      <x:c r="F169" s="53" t="n">
        <x:f>100*C169/SUMIFS('Annual totals'!$B$2:$B$20,'Annual totals'!$A$2:$A$20,A169)</x:f>
        <x:v>3.5667045619520232</x:v>
      </x:c>
      <x:c r="G169" s="53" t="n">
        <x:f>100*D169/SUMIFS('Annual totals'!$C$2:$C$20,'Annual totals'!$A$2:$A$20,A169)</x:f>
        <x:v>3.8557573872710007</x:v>
      </x:c>
    </x:row>
    <x:row r="170" ht="23" customHeight="1">
      <x:c r="A170" s="4" t="n">
        <x:v>1931</x:v>
      </x:c>
      <x:c r="B170" s="14" t="str">
        <x:v>Germany</x:v>
      </x:c>
      <x:c r="C170" s="6" t="n">
        <x:v>2492.933</x:v>
      </x:c>
      <x:c r="D170" s="6" t="n">
        <x:v>4792</x:v>
      </x:c>
      <x:c r="E170" s="17" t="n">
        <x:f>C170-D170</x:f>
        <x:v>-2299.067</x:v>
      </x:c>
      <x:c r="F170" s="53" t="n">
        <x:f>100*C170/SUMIFS('Annual totals'!$B$2:$B$20,'Annual totals'!$A$2:$A$20,A170)</x:f>
        <x:v>18.958540519703075</x:v>
      </x:c>
      <x:c r="G170" s="53" t="n">
        <x:f>100*D170/SUMIFS('Annual totals'!$C$2:$C$20,'Annual totals'!$A$2:$A$20,A170)</x:f>
        <x:v>40.60832835121459</x:v>
      </x:c>
    </x:row>
    <x:row r="171" ht="23" customHeight="1">
      <x:c r="A171" s="4" t="n">
        <x:v>1931</x:v>
      </x:c>
      <x:c r="B171" s="14" t="str">
        <x:v>Hungary</x:v>
      </x:c>
      <x:c r="C171" s="6" t="n">
        <x:v>289.326</x:v>
      </x:c>
      <x:c r="D171" s="6" t="n">
        <x:v>134</x:v>
      </x:c>
      <x:c r="E171" s="17" t="n">
        <x:f>C171-D171</x:f>
        <x:v>155.32600000000002</x:v>
      </x:c>
      <x:c r="F171" s="53" t="n">
        <x:f>100*C171/SUMIFS('Annual totals'!$B$2:$B$20,'Annual totals'!$A$2:$A$20,A171)</x:f>
        <x:v>2.2002992837768254</x:v>
      </x:c>
      <x:c r="G171" s="53" t="n">
        <x:f>100*D171/SUMIFS('Annual totals'!$C$2:$C$20,'Annual totals'!$A$2:$A$20,A171)</x:f>
        <x:v>1.1355417360314597</x:v>
      </x:c>
    </x:row>
    <x:row r="172" ht="23" customHeight="1">
      <x:c r="A172" s="4" t="n">
        <x:v>1931</x:v>
      </x:c>
      <x:c r="B172" s="14" t="str">
        <x:v>Italy</x:v>
      </x:c>
      <x:c r="C172" s="6" t="n">
        <x:v>447.698</x:v>
      </x:c>
      <x:c r="D172" s="6" t="n">
        <x:v>464</x:v>
      </x:c>
      <x:c r="E172" s="17" t="n">
        <x:f>C172-D172</x:f>
        <x:v>-16.30200000000002</x:v>
      </x:c>
      <x:c r="F172" s="53" t="n">
        <x:f>100*C172/SUMIFS('Annual totals'!$B$2:$B$20,'Annual totals'!$A$2:$A$20,A172)</x:f>
        <x:v>3.404704688649886</x:v>
      </x:c>
      <x:c r="G172" s="53" t="n">
        <x:f>100*D172/SUMIFS('Annual totals'!$C$2:$C$20,'Annual totals'!$A$2:$A$20,A172)</x:f>
        <x:v>3.9320251158104274</x:v>
      </x:c>
    </x:row>
    <x:row r="173" ht="23" customHeight="1">
      <x:c r="A173" s="4" t="n">
        <x:v>1931</x:v>
      </x:c>
      <x:c r="B173" s="14" t="str">
        <x:v>Netherlands</x:v>
      </x:c>
      <x:c r="C173" s="6" t="n">
        <x:v>424</x:v>
      </x:c>
      <x:c r="D173" s="6" t="n">
        <x:v>236</x:v>
      </x:c>
      <x:c r="E173" s="17" t="n">
        <x:f>C173-D173</x:f>
        <x:v>188</x:v>
      </x:c>
      <x:c r="F173" s="53" t="n">
        <x:f>100*C173/SUMIFS('Annual totals'!$B$2:$B$20,'Annual totals'!$A$2:$A$20,A173)</x:f>
        <x:v>3.2244834419353046</x:v>
      </x:c>
      <x:c r="G173" s="53" t="n">
        <x:f>100*D173/SUMIFS('Annual totals'!$C$2:$C$20,'Annual totals'!$A$2:$A$20,A173)</x:f>
        <x:v>1.9999093261449588</x:v>
      </x:c>
    </x:row>
    <x:row r="174" ht="23" customHeight="1">
      <x:c r="A174" s="4" t="n">
        <x:v>1931</x:v>
      </x:c>
      <x:c r="B174" s="14" t="str">
        <x:v>Poland</x:v>
      </x:c>
      <x:c r="C174" s="6" t="n">
        <x:v>394.714</x:v>
      </x:c>
      <x:c r="D174" s="6" t="n">
        <x:v>622</x:v>
      </x:c>
      <x:c r="E174" s="17" t="n">
        <x:f>C174-D174</x:f>
        <x:v>-227.286</x:v>
      </x:c>
      <x:c r="F174" s="53" t="n">
        <x:f>100*C174/SUMIFS('Annual totals'!$B$2:$B$20,'Annual totals'!$A$2:$A$20,A174)</x:f>
        <x:v>3.001765937028424</x:v>
      </x:c>
      <x:c r="G174" s="53" t="n">
        <x:f>100*D174/SUMIFS('Annual totals'!$C$2:$C$20,'Annual totals'!$A$2:$A$20,A174)</x:f>
        <x:v>5.2709474612803575</x:v>
      </x:c>
    </x:row>
    <x:row r="175" ht="23" customHeight="1">
      <x:c r="A175" s="4" t="n">
        <x:v>1931</x:v>
      </x:c>
      <x:c r="B175" s="14" t="str">
        <x:v>Romania</x:v>
      </x:c>
      <x:c r="C175" s="6" t="n">
        <x:v>340.679</x:v>
      </x:c>
      <x:c r="D175" s="6" t="n">
        <x:v>567</x:v>
      </x:c>
      <x:c r="E175" s="17" t="n">
        <x:f>C175-D175</x:f>
        <x:v>-226.32100000000003</x:v>
      </x:c>
      <x:c r="F175" s="53" t="n">
        <x:f>100*C175/SUMIFS('Annual totals'!$B$2:$B$20,'Annual totals'!$A$2:$A$20,A175)</x:f>
        <x:v>2.590834421026126</x:v>
      </x:c>
      <x:c r="G175" s="53" t="n">
        <x:f>100*D175/SUMIFS('Annual totals'!$C$2:$C$20,'Annual totals'!$A$2:$A$20,A175)</x:f>
        <x:v>4.804866897983863</x:v>
      </x:c>
    </x:row>
    <x:row r="176" ht="23" customHeight="1">
      <x:c r="A176" s="4" t="n">
        <x:v>1931</x:v>
      </x:c>
      <x:c r="B176" s="14" t="str">
        <x:v>Sweden</x:v>
      </x:c>
      <x:c r="C176" s="6" t="n">
        <x:v>305.458</x:v>
      </x:c>
      <x:c r="D176" s="6" t="n">
        <x:v>220</x:v>
      </x:c>
      <x:c r="E176" s="17" t="n">
        <x:f>C176-D176</x:f>
        <x:v>85.45800000000003</x:v>
      </x:c>
      <x:c r="F176" s="53" t="n">
        <x:f>100*C176/SUMIFS('Annual totals'!$B$2:$B$20,'Annual totals'!$A$2:$A$20,A176)</x:f>
        <x:v>2.32298175284593</x:v>
      </x:c>
      <x:c r="G176" s="53" t="n">
        <x:f>100*D176/SUMIFS('Annual totals'!$C$2:$C$20,'Annual totals'!$A$2:$A$20,A176)</x:f>
        <x:v>1.8643222531859784</x:v>
      </x:c>
    </x:row>
    <x:row r="177" ht="23" customHeight="1">
      <x:c r="A177" s="4" t="n">
        <x:v>1931</x:v>
      </x:c>
      <x:c r="B177" s="14" t="str">
        <x:v>Switzerland</x:v>
      </x:c>
      <x:c r="C177" s="6" t="n">
        <x:v>467</x:v>
      </x:c>
      <x:c r="D177" s="6" t="n">
        <x:v>354</x:v>
      </x:c>
      <x:c r="E177" s="17" t="n">
        <x:f>C177-D177</x:f>
        <x:v>113</x:v>
      </x:c>
      <x:c r="F177" s="53" t="n">
        <x:f>100*C177/SUMIFS('Annual totals'!$B$2:$B$20,'Annual totals'!$A$2:$A$20,A177)</x:f>
        <x:v>3.5514947343957246</x:v>
      </x:c>
      <x:c r="G177" s="53" t="n">
        <x:f>100*D177/SUMIFS('Annual totals'!$C$2:$C$20,'Annual totals'!$A$2:$A$20,A177)</x:f>
        <x:v>2.999863989217438</x:v>
      </x:c>
    </x:row>
    <x:row r="178" ht="23" customHeight="1">
      <x:c r="A178" s="4" t="n">
        <x:v>1931</x:v>
      </x:c>
      <x:c r="B178" s="14" t="str">
        <x:v>USSR</x:v>
      </x:c>
      <x:c r="C178" s="6" t="n">
        <x:v>489.484</x:v>
      </x:c>
      <x:c r="D178" s="6" t="n">
        <x:v>278</x:v>
      </x:c>
      <x:c r="E178" s="17" t="n">
        <x:f>C178-D178</x:f>
        <x:v>211.48399999999998</x:v>
      </x:c>
      <x:c r="F178" s="53" t="n">
        <x:f>100*C178/SUMIFS('Annual totals'!$B$2:$B$20,'Annual totals'!$A$2:$A$20,A178)</x:f>
        <x:v>3.7224836157836334</x:v>
      </x:c>
      <x:c r="G178" s="53" t="n">
        <x:f>100*D178/SUMIFS('Annual totals'!$C$2:$C$20,'Annual totals'!$A$2:$A$20,A178)</x:f>
        <x:v>2.355825392662282</x:v>
      </x:c>
    </x:row>
    <x:row r="179" ht="23" customHeight="1">
      <x:c r="A179" s="4" t="n">
        <x:v>1931</x:v>
      </x:c>
      <x:c r="B179" s="14" t="str">
        <x:v>United Kingdom</x:v>
      </x:c>
      <x:c r="C179" s="6" t="n">
        <x:v>1356</x:v>
      </x:c>
      <x:c r="D179" s="6" t="n">
        <x:v>434</x:v>
      </x:c>
      <x:c r="E179" s="17" t="n">
        <x:f>C179-D179</x:f>
        <x:v>922</x:v>
      </x:c>
      <x:c r="F179" s="53" t="n">
        <x:f>100*C179/SUMIFS('Annual totals'!$B$2:$B$20,'Annual totals'!$A$2:$A$20,A179)</x:f>
        <x:v>10.312263083170455</x:v>
      </x:c>
      <x:c r="G179" s="53" t="n">
        <x:f>100*D179/SUMIFS('Annual totals'!$C$2:$C$20,'Annual totals'!$A$2:$A$20,A179)</x:f>
        <x:v>3.6777993540123393</x:v>
      </x:c>
    </x:row>
    <x:row r="180" ht="23" customHeight="1">
      <x:c r="A180" s="4" t="n">
        <x:v>1931</x:v>
      </x:c>
      <x:c r="B180" s="14" t="str">
        <x:v>United States</x:v>
      </x:c>
      <x:c r="C180" s="6" t="n">
        <x:v>804.687</x:v>
      </x:c>
      <x:c r="D180" s="6" t="n">
        <x:v>484</x:v>
      </x:c>
      <x:c r="E180" s="17" t="n">
        <x:f>C180-D180</x:f>
        <x:v>320.687</x:v>
      </x:c>
      <x:c r="F180" s="53" t="n">
        <x:f>100*C180/SUMIFS('Annual totals'!$B$2:$B$20,'Annual totals'!$A$2:$A$20,A180)</x:f>
        <x:v>6.119575253397628</x:v>
      </x:c>
      <x:c r="G180" s="53" t="n">
        <x:f>100*D180/SUMIFS('Annual totals'!$C$2:$C$20,'Annual totals'!$A$2:$A$20,A180)</x:f>
        <x:v>4.101508957009153</x:v>
      </x:c>
    </x:row>
    <x:row r="181" ht="23" customHeight="1">
      <x:c r="A181" s="4" t="n">
        <x:v>1931</x:v>
      </x:c>
      <x:c r="B181" s="14" t="str">
        <x:v>Yugoslavia</x:v>
      </x:c>
      <x:c r="C181" s="6" t="n">
        <x:v>832.213</x:v>
      </x:c>
      <x:c r="D181" s="6" t="n">
        <x:v>385</x:v>
      </x:c>
      <x:c r="E181" s="17" t="n">
        <x:f>C181-D181</x:f>
        <x:v>447.21299999999997</x:v>
      </x:c>
      <x:c r="F181" s="53" t="n">
        <x:f>100*C181/SUMIFS('Annual totals'!$B$2:$B$20,'Annual totals'!$A$2:$A$20,A181)</x:f>
        <x:v>6.328908110054966</x:v>
      </x:c>
      <x:c r="G181" s="53" t="n">
        <x:f>100*D181/SUMIFS('Annual totals'!$C$2:$C$20,'Annual totals'!$A$2:$A$20,A181)</x:f>
        <x:v>3.2625639430754623</x:v>
      </x:c>
    </x:row>
    <x:row r="182" ht="23" customHeight="1">
      <x:c r="A182" s="4" t="n">
        <x:v>1932</x:v>
      </x:c>
      <x:c r="B182" s="14" t="str">
        <x:v>Austria</x:v>
      </x:c>
      <x:c r="C182" s="6" t="n">
        <x:v>1031.197</x:v>
      </x:c>
      <x:c r="D182" s="6" t="n">
        <x:v>453</x:v>
      </x:c>
      <x:c r="E182" s="17" t="n">
        <x:f>C182-D182</x:f>
        <x:v>578.1969999999999</x:v>
      </x:c>
      <x:c r="F182" s="53" t="n">
        <x:f>100*C182/SUMIFS('Annual totals'!$B$2:$B$20,'Annual totals'!$A$2:$A$20,A182)</x:f>
        <x:v>13.950383460792839</x:v>
      </x:c>
      <x:c r="G182" s="53" t="n">
        <x:f>100*D182/SUMIFS('Annual totals'!$C$2:$C$20,'Annual totals'!$A$2:$A$20,A182)</x:f>
        <x:v>5.552890113820764</x:v>
      </x:c>
    </x:row>
    <x:row r="183" ht="23" customHeight="1">
      <x:c r="A183" s="4" t="n">
        <x:v>1932</x:v>
      </x:c>
      <x:c r="B183" s="14" t="str">
        <x:v>Belgium and Luxembourg</x:v>
      </x:c>
      <x:c r="C183" s="6" t="n">
        <x:v>182.109</x:v>
      </x:c>
      <x:c r="D183" s="6" t="n">
        <x:v>121</x:v>
      </x:c>
      <x:c r="E183" s="17" t="n">
        <x:f>C183-D183</x:f>
        <x:v>61.10900000000001</x:v>
      </x:c>
      <x:c r="F183" s="53" t="n">
        <x:f>100*C183/SUMIFS('Annual totals'!$B$2:$B$20,'Annual totals'!$A$2:$A$20,A183)</x:f>
        <x:v>2.4636324404178094</x:v>
      </x:c>
      <x:c r="G183" s="53" t="n">
        <x:f>100*D183/SUMIFS('Annual totals'!$C$2:$C$20,'Annual totals'!$A$2:$A$20,A183)</x:f>
        <x:v>1.48322230413314</x:v>
      </x:c>
    </x:row>
    <x:row r="184" ht="23" customHeight="1">
      <x:c r="A184" s="4" t="n">
        <x:v>1932</x:v>
      </x:c>
      <x:c r="B184" s="14" t="str">
        <x:v>France</x:v>
      </x:c>
      <x:c r="C184" s="6" t="n">
        <x:v>366</x:v>
      </x:c>
      <x:c r="D184" s="6" t="n">
        <x:v>324</x:v>
      </x:c>
      <x:c r="E184" s="17" t="n">
        <x:f>C184-D184</x:f>
        <x:v>42</x:v>
      </x:c>
      <x:c r="F184" s="53" t="n">
        <x:f>100*C184/SUMIFS('Annual totals'!$B$2:$B$20,'Annual totals'!$A$2:$A$20,A184)</x:f>
        <x:v>4.951372382435345</x:v>
      </x:c>
      <x:c r="G184" s="53" t="n">
        <x:f>100*D184/SUMIFS('Annual totals'!$C$2:$C$20,'Annual totals'!$A$2:$A$20,A184)</x:f>
        <x:v>3.9716035251168376</x:v>
      </x:c>
    </x:row>
    <x:row r="185" ht="23" customHeight="1">
      <x:c r="A185" s="4" t="n">
        <x:v>1932</x:v>
      </x:c>
      <x:c r="B185" s="14" t="str">
        <x:v>Germany</x:v>
      </x:c>
      <x:c r="C185" s="6" t="n">
        <x:v>1452.074</x:v>
      </x:c>
      <x:c r="D185" s="6" t="n">
        <x:v>2868</x:v>
      </x:c>
      <x:c r="E185" s="17" t="n">
        <x:f>C185-D185</x:f>
        <x:v>-1415.926</x:v>
      </x:c>
      <x:c r="F185" s="53" t="n">
        <x:f>100*C185/SUMIFS('Annual totals'!$B$2:$B$20,'Annual totals'!$A$2:$A$20,A185)</x:f>
        <x:v>19.644150548777105</x:v>
      </x:c>
      <x:c r="G185" s="53" t="n">
        <x:f>100*D185/SUMIFS('Annual totals'!$C$2:$C$20,'Annual totals'!$A$2:$A$20,A185)</x:f>
        <x:v>35.156046018626824</x:v>
      </x:c>
    </x:row>
    <x:row r="186" ht="23" customHeight="1">
      <x:c r="A186" s="4" t="n">
        <x:v>1932</x:v>
      </x:c>
      <x:c r="B186" s="14" t="str">
        <x:v>Hungary</x:v>
      </x:c>
      <x:c r="C186" s="6" t="n">
        <x:v>202.055</x:v>
      </x:c>
      <x:c r="D186" s="6" t="n">
        <x:v>121</x:v>
      </x:c>
      <x:c r="E186" s="17" t="n">
        <x:f>C186-D186</x:f>
        <x:v>81.055</x:v>
      </x:c>
      <x:c r="F186" s="53" t="n">
        <x:f>100*C186/SUMIFS('Annual totals'!$B$2:$B$20,'Annual totals'!$A$2:$A$20,A186)</x:f>
        <x:v>2.733468706920693</x:v>
      </x:c>
      <x:c r="G186" s="53" t="n">
        <x:f>100*D186/SUMIFS('Annual totals'!$C$2:$C$20,'Annual totals'!$A$2:$A$20,A186)</x:f>
        <x:v>1.48322230413314</x:v>
      </x:c>
    </x:row>
    <x:row r="187" ht="23" customHeight="1">
      <x:c r="A187" s="4" t="n">
        <x:v>1932</x:v>
      </x:c>
      <x:c r="B187" s="14" t="str">
        <x:v>Italy</x:v>
      </x:c>
      <x:c r="C187" s="6" t="n">
        <x:v>253.78</x:v>
      </x:c>
      <x:c r="D187" s="6" t="n">
        <x:v>301</x:v>
      </x:c>
      <x:c r="E187" s="17" t="n">
        <x:f>C187-D187</x:f>
        <x:v>-47.22</x:v>
      </x:c>
      <x:c r="F187" s="53" t="n">
        <x:f>100*C187/SUMIFS('Annual totals'!$B$2:$B$20,'Annual totals'!$A$2:$A$20,A187)</x:f>
        <x:v>3.43322208528536</x:v>
      </x:c>
      <x:c r="G187" s="53" t="n">
        <x:f>100*D187/SUMIFS('Annual totals'!$C$2:$C$20,'Annual totals'!$A$2:$A$20,A187)</x:f>
        <x:v>3.6896687069758274</x:v>
      </x:c>
    </x:row>
    <x:row r="188" ht="23" customHeight="1">
      <x:c r="A188" s="4" t="n">
        <x:v>1932</x:v>
      </x:c>
      <x:c r="B188" s="14" t="str">
        <x:v>Netherlands</x:v>
      </x:c>
      <x:c r="C188" s="6" t="n">
        <x:v>295</x:v>
      </x:c>
      <x:c r="D188" s="6" t="n">
        <x:v>180</x:v>
      </x:c>
      <x:c r="E188" s="17" t="n">
        <x:f>C188-D188</x:f>
        <x:v>115</x:v>
      </x:c>
      <x:c r="F188" s="53" t="n">
        <x:f>100*C188/SUMIFS('Annual totals'!$B$2:$B$20,'Annual totals'!$A$2:$A$20,A188)</x:f>
        <x:v>3.9908602536022584</x:v>
      </x:c>
      <x:c r="G188" s="53" t="n">
        <x:f>100*D188/SUMIFS('Annual totals'!$C$2:$C$20,'Annual totals'!$A$2:$A$20,A188)</x:f>
        <x:v>2.2064464028426873</x:v>
      </x:c>
    </x:row>
    <x:row r="189" ht="23" customHeight="1">
      <x:c r="A189" s="4" t="n">
        <x:v>1932</x:v>
      </x:c>
      <x:c r="B189" s="14" t="str">
        <x:v>Poland</x:v>
      </x:c>
      <x:c r="C189" s="6" t="n">
        <x:v>188.088</x:v>
      </x:c>
      <x:c r="D189" s="6" t="n">
        <x:v>370</x:v>
      </x:c>
      <x:c r="E189" s="17" t="n">
        <x:f>C189-D189</x:f>
        <x:v>-181.912</x:v>
      </x:c>
      <x:c r="F189" s="53" t="n">
        <x:f>100*C189/SUMIFS('Annual totals'!$B$2:$B$20,'Annual totals'!$A$2:$A$20,A189)</x:f>
        <x:v>2.544518384337429</x:v>
      </x:c>
      <x:c r="G189" s="53" t="n">
        <x:f>100*D189/SUMIFS('Annual totals'!$C$2:$C$20,'Annual totals'!$A$2:$A$20,A189)</x:f>
        <x:v>4.5354731613988575</x:v>
      </x:c>
    </x:row>
    <x:row r="190" ht="23" customHeight="1">
      <x:c r="A190" s="4" t="n">
        <x:v>1932</x:v>
      </x:c>
      <x:c r="B190" s="14" t="str">
        <x:v>Romania</x:v>
      </x:c>
      <x:c r="C190" s="6" t="n">
        <x:v>301.589</x:v>
      </x:c>
      <x:c r="D190" s="6" t="n">
        <x:v>335</x:v>
      </x:c>
      <x:c r="E190" s="17" t="n">
        <x:f>C190-D190</x:f>
        <x:v>-33.411</x:v>
      </x:c>
      <x:c r="F190" s="53" t="n">
        <x:f>100*C190/SUMIFS('Annual totals'!$B$2:$B$20,'Annual totals'!$A$2:$A$20,A190)</x:f>
        <x:v>4.079998484825937</x:v>
      </x:c>
      <x:c r="G190" s="53" t="n">
        <x:f>100*D190/SUMIFS('Annual totals'!$C$2:$C$20,'Annual totals'!$A$2:$A$20,A190)</x:f>
        <x:v>4.106441916401669</x:v>
      </x:c>
    </x:row>
    <x:row r="191" ht="23" customHeight="1">
      <x:c r="A191" s="4" t="n">
        <x:v>1932</x:v>
      </x:c>
      <x:c r="B191" s="14" t="str">
        <x:v>Sweden</x:v>
      </x:c>
      <x:c r="C191" s="6" t="n">
        <x:v>138.955</x:v>
      </x:c>
      <x:c r="D191" s="6" t="n">
        <x:v>58</x:v>
      </x:c>
      <x:c r="E191" s="17" t="n">
        <x:f>C191-D191</x:f>
        <x:v>80.95500000000001</x:v>
      </x:c>
      <x:c r="F191" s="53" t="n">
        <x:f>100*C191/SUMIFS('Annual totals'!$B$2:$B$20,'Annual totals'!$A$2:$A$20,A191)</x:f>
        <x:v>1.8798304628450913</x:v>
      </x:c>
      <x:c r="G191" s="53" t="n">
        <x:f>100*D191/SUMIFS('Annual totals'!$C$2:$C$20,'Annual totals'!$A$2:$A$20,A191)</x:f>
        <x:v>0.7109660631381993</x:v>
      </x:c>
    </x:row>
    <x:row r="192" ht="23" customHeight="1">
      <x:c r="A192" s="4" t="n">
        <x:v>1932</x:v>
      </x:c>
      <x:c r="B192" s="14" t="str">
        <x:v>Switzerland</x:v>
      </x:c>
      <x:c r="C192" s="6" t="n">
        <x:v>308.908</x:v>
      </x:c>
      <x:c r="D192" s="6" t="n">
        <x:v>218</x:v>
      </x:c>
      <x:c r="E192" s="17" t="n">
        <x:f>C192-D192</x:f>
        <x:v>90.90800000000002</x:v>
      </x:c>
      <x:c r="F192" s="53" t="n">
        <x:f>100*C192/SUMIFS('Annual totals'!$B$2:$B$20,'Annual totals'!$A$2:$A$20,A192)</x:f>
        <x:v>4.179012404134802</x:v>
      </x:c>
      <x:c r="G192" s="53" t="n">
        <x:f>100*D192/SUMIFS('Annual totals'!$C$2:$C$20,'Annual totals'!$A$2:$A$20,A192)</x:f>
        <x:v>2.6722517545539217</x:v>
      </x:c>
    </x:row>
    <x:row r="193" ht="23" customHeight="1">
      <x:c r="A193" s="4" t="n">
        <x:v>1932</x:v>
      </x:c>
      <x:c r="B193" s="14" t="str">
        <x:v>USSR</x:v>
      </x:c>
      <x:c r="C193" s="6" t="n">
        <x:v>120.804</x:v>
      </x:c>
      <x:c r="D193" s="6" t="n">
        <x:v>164</x:v>
      </x:c>
      <x:c r="E193" s="17" t="n">
        <x:f>C193-D193</x:f>
        <x:v>-43.196</x:v>
      </x:c>
      <x:c r="F193" s="53" t="n">
        <x:f>100*C193/SUMIFS('Annual totals'!$B$2:$B$20,'Annual totals'!$A$2:$A$20,A193)</x:f>
        <x:v>1.634277566359889</x:v>
      </x:c>
      <x:c r="G193" s="53" t="n">
        <x:f>100*D193/SUMIFS('Annual totals'!$C$2:$C$20,'Annual totals'!$A$2:$A$20,A193)</x:f>
        <x:v>2.0103178337011154</x:v>
      </x:c>
    </x:row>
    <x:row r="194" ht="23" customHeight="1">
      <x:c r="A194" s="4" t="n">
        <x:v>1932</x:v>
      </x:c>
      <x:c r="B194" s="14" t="str">
        <x:v>United Kingdom</x:v>
      </x:c>
      <x:c r="C194" s="6" t="n">
        <x:v>406</x:v>
      </x:c>
      <x:c r="D194" s="6" t="n">
        <x:v>339</x:v>
      </x:c>
      <x:c r="E194" s="17" t="n">
        <x:f>C194-D194</x:f>
        <x:v>67</x:v>
      </x:c>
      <x:c r="F194" s="53" t="n">
        <x:f>100*C194/SUMIFS('Annual totals'!$B$2:$B$20,'Annual totals'!$A$2:$A$20,A194)</x:f>
        <x:v>5.492505976144125</x:v>
      </x:c>
      <x:c r="G194" s="53" t="n">
        <x:f>100*D194/SUMIFS('Annual totals'!$C$2:$C$20,'Annual totals'!$A$2:$A$20,A194)</x:f>
        <x:v>4.155474058687061</x:v>
      </x:c>
    </x:row>
    <x:row r="195" ht="23" customHeight="1">
      <x:c r="A195" s="4" t="n">
        <x:v>1932</x:v>
      </x:c>
      <x:c r="B195" s="14" t="str">
        <x:v>United States</x:v>
      </x:c>
      <x:c r="C195" s="6" t="n">
        <x:v>505.575</x:v>
      </x:c>
      <x:c r="D195" s="6" t="n">
        <x:v>927</x:v>
      </x:c>
      <x:c r="E195" s="17" t="n">
        <x:f>C195-D195</x:f>
        <x:v>-421.425</x:v>
      </x:c>
      <x:c r="F195" s="53" t="n">
        <x:f>100*C195/SUMIFS('Annual totals'!$B$2:$B$20,'Annual totals'!$A$2:$A$20,A195)</x:f>
        <x:v>6.839590415982921</x:v>
      </x:c>
      <x:c r="G195" s="53" t="n">
        <x:f>100*D195/SUMIFS('Annual totals'!$C$2:$C$20,'Annual totals'!$A$2:$A$20,A195)</x:f>
        <x:v>11.363198974639841</x:v>
      </x:c>
    </x:row>
    <x:row r="196" ht="23" customHeight="1">
      <x:c r="A196" s="4" t="n">
        <x:v>1932</x:v>
      </x:c>
      <x:c r="B196" s="14" t="str">
        <x:v>Yugoslavia</x:v>
      </x:c>
      <x:c r="C196" s="6" t="n">
        <x:v>404.106</x:v>
      </x:c>
      <x:c r="D196" s="6" t="n">
        <x:v>389</x:v>
      </x:c>
      <x:c r="E196" s="17" t="n">
        <x:f>C196-D196</x:f>
        <x:v>15.105999999999995</x:v>
      </x:c>
      <x:c r="F196" s="53" t="n">
        <x:f>100*C196/SUMIFS('Annual totals'!$B$2:$B$20,'Annual totals'!$A$2:$A$20,A196)</x:f>
        <x:v>5.4668833004820145</x:v>
      </x:c>
      <x:c r="G196" s="53" t="n">
        <x:f>100*D196/SUMIFS('Annual totals'!$C$2:$C$20,'Annual totals'!$A$2:$A$20,A196)</x:f>
        <x:v>4.7683758372544744</x:v>
      </x:c>
    </x:row>
    <x:row r="197" ht="23" customHeight="1">
      <x:c r="A197" s="4" t="n">
        <x:v>1933</x:v>
      </x:c>
      <x:c r="B197" s="14" t="str">
        <x:v>Austria</x:v>
      </x:c>
      <x:c r="C197" s="6" t="n">
        <x:v>720.83</x:v>
      </x:c>
      <x:c r="D197" s="6" t="n">
        <x:v>299</x:v>
      </x:c>
      <x:c r="E197" s="17" t="n">
        <x:f>C197-D197</x:f>
        <x:v>421.83000000000004</x:v>
      </x:c>
      <x:c r="F197" s="53" t="n">
        <x:f>100*C197/SUMIFS('Annual totals'!$B$2:$B$20,'Annual totals'!$A$2:$A$20,A197)</x:f>
        <x:v>12.169967936980829</x:v>
      </x:c>
      <x:c r="G197" s="53" t="n">
        <x:f>100*D197/SUMIFS('Annual totals'!$C$2:$C$20,'Annual totals'!$A$2:$A$20,A197)</x:f>
        <x:v>4.881476445814958</x:v>
      </x:c>
    </x:row>
    <x:row r="198" ht="23" customHeight="1">
      <x:c r="A198" s="4" t="n">
        <x:v>1933</x:v>
      </x:c>
      <x:c r="B198" s="14" t="str">
        <x:v>Belgium and Luxembourg</x:v>
      </x:c>
      <x:c r="C198" s="6" t="n">
        <x:v>147.605</x:v>
      </x:c>
      <x:c r="D198" s="6" t="n">
        <x:v>122</x:v>
      </x:c>
      <x:c r="E198" s="17" t="n">
        <x:f>C198-D198</x:f>
        <x:v>25.60499999999999</x:v>
      </x:c>
      <x:c r="F198" s="53" t="n">
        <x:f>100*C198/SUMIFS('Annual totals'!$B$2:$B$20,'Annual totals'!$A$2:$A$20,A198)</x:f>
        <x:v>2.492055154943683</x:v>
      </x:c>
      <x:c r="G198" s="53" t="n">
        <x:f>100*D198/SUMIFS('Annual totals'!$C$2:$C$20,'Annual totals'!$A$2:$A$20,A198)</x:f>
        <x:v>1.9917729979579428</x:v>
      </x:c>
    </x:row>
    <x:row r="199" ht="23" customHeight="1">
      <x:c r="A199" s="4" t="n">
        <x:v>1933</x:v>
      </x:c>
      <x:c r="B199" s="14" t="str">
        <x:v>France</x:v>
      </x:c>
      <x:c r="C199" s="6" t="n">
        <x:v>332</x:v>
      </x:c>
      <x:c r="D199" s="6" t="n">
        <x:v>382</x:v>
      </x:c>
      <x:c r="E199" s="17" t="n">
        <x:f>C199-D199</x:f>
        <x:v>-50</x:v>
      </x:c>
      <x:c r="F199" s="53" t="n">
        <x:f>100*C199/SUMIFS('Annual totals'!$B$2:$B$20,'Annual totals'!$A$2:$A$20,A199)</x:f>
        <x:v>5.605245834770521</x:v>
      </x:c>
      <x:c r="G199" s="53" t="n">
        <x:f>100*D199/SUMIFS('Annual totals'!$C$2:$C$20,'Annual totals'!$A$2:$A$20,A199)</x:f>
        <x:v>6.236535124753559</x:v>
      </x:c>
    </x:row>
    <x:row r="200" ht="23" customHeight="1">
      <x:c r="A200" s="4" t="n">
        <x:v>1933</x:v>
      </x:c>
      <x:c r="B200" s="14" t="str">
        <x:v>Germany</x:v>
      </x:c>
      <x:c r="C200" s="6" t="n">
        <x:v>1170.743</x:v>
      </x:c>
      <x:c r="D200" s="6" t="n">
        <x:v>1774</x:v>
      </x:c>
      <x:c r="E200" s="17" t="n">
        <x:f>C200-D200</x:f>
        <x:v>-603.2570000000001</x:v>
      </x:c>
      <x:c r="F200" s="53" t="n">
        <x:f>100*C200/SUMIFS('Annual totals'!$B$2:$B$20,'Annual totals'!$A$2:$A$20,A200)</x:f>
        <x:v>19.765970856435978</x:v>
      </x:c>
      <x:c r="G200" s="53" t="n">
        <x:f>100*D200/SUMIFS('Annual totals'!$C$2:$C$20,'Annual totals'!$A$2:$A$20,A200)</x:f>
        <x:v>28.96233851129009</x:v>
      </x:c>
    </x:row>
    <x:row r="201" ht="23" customHeight="1">
      <x:c r="A201" s="4" t="n">
        <x:v>1933</x:v>
      </x:c>
      <x:c r="B201" s="14" t="str">
        <x:v>Hungary</x:v>
      </x:c>
      <x:c r="C201" s="6" t="n">
        <x:v>190.145</x:v>
      </x:c>
      <x:c r="D201" s="6" t="n">
        <x:v>167</x:v>
      </x:c>
      <x:c r="E201" s="17" t="n">
        <x:f>C201-D201</x:f>
        <x:v>23.14500000000001</x:v>
      </x:c>
      <x:c r="F201" s="53" t="n">
        <x:f>100*C201/SUMIFS('Annual totals'!$B$2:$B$20,'Annual totals'!$A$2:$A$20,A201)</x:f>
        <x:v>3.210269485700123</x:v>
      </x:c>
      <x:c r="G201" s="53" t="n">
        <x:f>100*D201/SUMIFS('Annual totals'!$C$2:$C$20,'Annual totals'!$A$2:$A$20,A201)</x:f>
        <x:v>2.7264433660571843</x:v>
      </x:c>
    </x:row>
    <x:row r="202" ht="23" customHeight="1">
      <x:c r="A202" s="4" t="n">
        <x:v>1933</x:v>
      </x:c>
      <x:c r="B202" s="14" t="str">
        <x:v>Italy</x:v>
      </x:c>
      <x:c r="C202" s="6" t="n">
        <x:v>188.877</x:v>
      </x:c>
      <x:c r="D202" s="6" t="n">
        <x:v>300</x:v>
      </x:c>
      <x:c r="E202" s="17" t="n">
        <x:f>C202-D202</x:f>
        <x:v>-111.12299999999999</x:v>
      </x:c>
      <x:c r="F202" s="53" t="n">
        <x:f>100*C202/SUMIFS('Annual totals'!$B$2:$B$20,'Annual totals'!$A$2:$A$20,A202)</x:f>
        <x:v>3.1888614985962405</x:v>
      </x:c>
      <x:c r="G202" s="53" t="n">
        <x:f>100*D202/SUMIFS('Annual totals'!$C$2:$C$20,'Annual totals'!$A$2:$A$20,A202)</x:f>
        <x:v>4.897802453994942</x:v>
      </x:c>
    </x:row>
    <x:row r="203" ht="23" customHeight="1">
      <x:c r="A203" s="4" t="n">
        <x:v>1933</x:v>
      </x:c>
      <x:c r="B203" s="14" t="str">
        <x:v>Netherlands</x:v>
      </x:c>
      <x:c r="C203" s="6" t="n">
        <x:v>266</x:v>
      </x:c>
      <x:c r="D203" s="6" t="n">
        <x:v>187</x:v>
      </x:c>
      <x:c r="E203" s="17" t="n">
        <x:f>C203-D203</x:f>
        <x:v>79</x:v>
      </x:c>
      <x:c r="F203" s="53" t="n">
        <x:f>100*C203/SUMIFS('Annual totals'!$B$2:$B$20,'Annual totals'!$A$2:$A$20,A203)</x:f>
        <x:v>4.4909499760510805</x:v>
      </x:c>
      <x:c r="G203" s="53" t="n">
        <x:f>100*D203/SUMIFS('Annual totals'!$C$2:$C$20,'Annual totals'!$A$2:$A$20,A203)</x:f>
        <x:v>3.052963529656847</x:v>
      </x:c>
    </x:row>
    <x:row r="204" ht="23" customHeight="1">
      <x:c r="A204" s="4" t="n">
        <x:v>1933</x:v>
      </x:c>
      <x:c r="B204" s="14" t="str">
        <x:v>Poland</x:v>
      </x:c>
      <x:c r="C204" s="6" t="n">
        <x:v>166.767</x:v>
      </x:c>
      <x:c r="D204" s="6" t="n">
        <x:v>191</x:v>
      </x:c>
      <x:c r="E204" s="17" t="n">
        <x:f>C204-D204</x:f>
        <x:v>-24.233000000000004</x:v>
      </x:c>
      <x:c r="F204" s="53" t="n">
        <x:f>100*C204/SUMIFS('Annual totals'!$B$2:$B$20,'Annual totals'!$A$2:$A$20,A204)</x:f>
        <x:v>2.8155723859252277</x:v>
      </x:c>
      <x:c r="G204" s="53" t="n">
        <x:f>100*D204/SUMIFS('Annual totals'!$C$2:$C$20,'Annual totals'!$A$2:$A$20,A204)</x:f>
        <x:v>3.1182675623767797</x:v>
      </x:c>
    </x:row>
    <x:row r="205" ht="23" customHeight="1">
      <x:c r="A205" s="4" t="n">
        <x:v>1933</x:v>
      </x:c>
      <x:c r="B205" s="14" t="str">
        <x:v>Romania</x:v>
      </x:c>
      <x:c r="C205" s="6" t="n">
        <x:v>221.465</x:v>
      </x:c>
      <x:c r="D205" s="6" t="n">
        <x:v>176.587</x:v>
      </x:c>
      <x:c r="E205" s="17" t="n">
        <x:f>C205-D205</x:f>
        <x:v>44.878000000000014</x:v>
      </x:c>
      <x:c r="F205" s="53" t="n">
        <x:f>100*C205/SUMIFS('Annual totals'!$B$2:$B$20,'Annual totals'!$A$2:$A$20,A205)</x:f>
        <x:v>3.7390535204742577</x:v>
      </x:c>
      <x:c r="G205" s="53" t="n">
        <x:f>100*D205/SUMIFS('Annual totals'!$C$2:$C$20,'Annual totals'!$A$2:$A$20,A205)</x:f>
        <x:v>2.8829608064786822</x:v>
      </x:c>
    </x:row>
    <x:row r="206" ht="23" customHeight="1">
      <x:c r="A206" s="4" t="n">
        <x:v>1933</x:v>
      </x:c>
      <x:c r="B206" s="14" t="str">
        <x:v>Sweden</x:v>
      </x:c>
      <x:c r="C206" s="6" t="n">
        <x:v>111.654</x:v>
      </x:c>
      <x:c r="D206" s="6" t="n">
        <x:v>67</x:v>
      </x:c>
      <x:c r="E206" s="17" t="n">
        <x:f>C206-D206</x:f>
        <x:v>44.653999999999996</x:v>
      </x:c>
      <x:c r="F206" s="53" t="n">
        <x:f>100*C206/SUMIFS('Annual totals'!$B$2:$B$20,'Annual totals'!$A$2:$A$20,A206)</x:f>
        <x:v>1.8850846940827344</x:v>
      </x:c>
      <x:c r="G206" s="53" t="n">
        <x:f>100*D206/SUMIFS('Annual totals'!$C$2:$C$20,'Annual totals'!$A$2:$A$20,A206)</x:f>
        <x:v>1.0938425480588703</x:v>
      </x:c>
    </x:row>
    <x:row r="207" ht="23" customHeight="1">
      <x:c r="A207" s="4" t="n">
        <x:v>1933</x:v>
      </x:c>
      <x:c r="B207" s="14" t="str">
        <x:v>Switzerland</x:v>
      </x:c>
      <x:c r="C207" s="6" t="n">
        <x:v>269.794</x:v>
      </x:c>
      <x:c r="D207" s="6" t="n">
        <x:v>179</x:v>
      </x:c>
      <x:c r="E207" s="17" t="n">
        <x:f>C207-D207</x:f>
        <x:v>90.79399999999998</x:v>
      </x:c>
      <x:c r="F207" s="53" t="n">
        <x:f>100*C207/SUMIFS('Annual totals'!$B$2:$B$20,'Annual totals'!$A$2:$A$20,A207)</x:f>
        <x:v>4.555005104656861</x:v>
      </x:c>
      <x:c r="G207" s="53" t="n">
        <x:f>100*D207/SUMIFS('Annual totals'!$C$2:$C$20,'Annual totals'!$A$2:$A$20,A207)</x:f>
        <x:v>2.922355464216982</x:v>
      </x:c>
    </x:row>
    <x:row r="208" ht="23" customHeight="1">
      <x:c r="A208" s="4" t="n">
        <x:v>1933</x:v>
      </x:c>
      <x:c r="B208" s="14" t="str">
        <x:v>USSR</x:v>
      </x:c>
      <x:c r="C208" s="6" t="n">
        <x:v>77.436</x:v>
      </x:c>
      <x:c r="D208" s="6" t="n">
        <x:v>113</x:v>
      </x:c>
      <x:c r="E208" s="17" t="n">
        <x:f>C208-D208</x:f>
        <x:v>-35.56399999999999</x:v>
      </x:c>
      <x:c r="F208" s="53" t="n">
        <x:f>100*C208/SUMIFS('Annual totals'!$B$2:$B$20,'Annual totals'!$A$2:$A$20,A208)</x:f>
        <x:v>1.3073729411484643</x:v>
      </x:c>
      <x:c r="G208" s="53" t="n">
        <x:f>100*D208/SUMIFS('Annual totals'!$C$2:$C$20,'Annual totals'!$A$2:$A$20,A208)</x:f>
        <x:v>1.8448389243380947</x:v>
      </x:c>
    </x:row>
    <x:row r="209" ht="23" customHeight="1">
      <x:c r="A209" s="4" t="n">
        <x:v>1933</x:v>
      </x:c>
      <x:c r="B209" s="14" t="str">
        <x:v>United Kingdom</x:v>
      </x:c>
      <x:c r="C209" s="6" t="n">
        <x:v>360</x:v>
      </x:c>
      <x:c r="D209" s="6" t="n">
        <x:v>280</x:v>
      </x:c>
      <x:c r="E209" s="17" t="n">
        <x:f>C209-D209</x:f>
        <x:v>80</x:v>
      </x:c>
      <x:c r="F209" s="53" t="n">
        <x:f>100*C209/SUMIFS('Annual totals'!$B$2:$B$20,'Annual totals'!$A$2:$A$20,A209)</x:f>
        <x:v>6.077977411196951</x:v>
      </x:c>
      <x:c r="G209" s="53" t="n">
        <x:f>100*D209/SUMIFS('Annual totals'!$C$2:$C$20,'Annual totals'!$A$2:$A$20,A209)</x:f>
        <x:v>4.571282290395279</x:v>
      </x:c>
    </x:row>
    <x:row r="210" ht="23" customHeight="1">
      <x:c r="A210" s="4" t="n">
        <x:v>1933</x:v>
      </x:c>
      <x:c r="B210" s="14" t="str">
        <x:v>United States</x:v>
      </x:c>
      <x:c r="C210" s="6" t="n">
        <x:v>428.034</x:v>
      </x:c>
      <x:c r="D210" s="6" t="n">
        <x:v>464</x:v>
      </x:c>
      <x:c r="E210" s="17" t="n">
        <x:f>C210-D210</x:f>
        <x:v>-35.96600000000001</x:v>
      </x:c>
      <x:c r="F210" s="53" t="n">
        <x:f>100*C210/SUMIFS('Annual totals'!$B$2:$B$20,'Annual totals'!$A$2:$A$20,A210)</x:f>
        <x:v>7.226613842289655</x:v>
      </x:c>
      <x:c r="G210" s="53" t="n">
        <x:f>100*D210/SUMIFS('Annual totals'!$C$2:$C$20,'Annual totals'!$A$2:$A$20,A210)</x:f>
        <x:v>7.575267795512176</x:v>
      </x:c>
    </x:row>
    <x:row r="211" ht="23" customHeight="1">
      <x:c r="A211" s="4" t="n">
        <x:v>1933</x:v>
      </x:c>
      <x:c r="B211" s="14" t="str">
        <x:v>Yugoslavia</x:v>
      </x:c>
      <x:c r="C211" s="6" t="n">
        <x:v>197.157</x:v>
      </x:c>
      <x:c r="D211" s="6" t="n">
        <x:v>231</x:v>
      </x:c>
      <x:c r="E211" s="17" t="n">
        <x:f>C211-D211</x:f>
        <x:v>-33.84299999999999</x:v>
      </x:c>
      <x:c r="F211" s="53" t="n">
        <x:f>100*C211/SUMIFS('Annual totals'!$B$2:$B$20,'Annual totals'!$A$2:$A$20,A211)</x:f>
        <x:v>3.3286549790537703</x:v>
      </x:c>
      <x:c r="G211" s="53" t="n">
        <x:f>100*D211/SUMIFS('Annual totals'!$C$2:$C$20,'Annual totals'!$A$2:$A$20,A211)</x:f>
        <x:v>3.771307889576105</x:v>
      </x:c>
    </x:row>
    <x:row r="212" ht="23" customHeight="1">
      <x:c r="A212" s="4" t="n">
        <x:v>1934</x:v>
      </x:c>
      <x:c r="B212" s="14" t="str">
        <x:v>Austria</x:v>
      </x:c>
      <x:c r="C212" s="6" t="n">
        <x:v>769.411</x:v>
      </x:c>
      <x:c r="D212" s="6" t="n">
        <x:v>325</x:v>
      </x:c>
      <x:c r="E212" s="17" t="n">
        <x:f>C212-D212</x:f>
        <x:v>444.41099999999994</x:v>
      </x:c>
      <x:c r="F212" s="53" t="n">
        <x:f>100*C212/SUMIFS('Annual totals'!$B$2:$B$20,'Annual totals'!$A$2:$A$20,A212)</x:f>
        <x:v>10.557884413538762</x:v>
      </x:c>
      <x:c r="G212" s="53" t="n">
        <x:f>100*D212/SUMIFS('Annual totals'!$C$2:$C$20,'Annual totals'!$A$2:$A$20,A212)</x:f>
        <x:v>5.084825847061581</x:v>
      </x:c>
    </x:row>
    <x:row r="213" ht="23" customHeight="1">
      <x:c r="A213" s="4" t="n">
        <x:v>1934</x:v>
      </x:c>
      <x:c r="B213" s="14" t="str">
        <x:v>Belgium and Luxembourg</x:v>
      </x:c>
      <x:c r="C213" s="6" t="n">
        <x:v>156.943</x:v>
      </x:c>
      <x:c r="D213" s="6" t="n">
        <x:v>154</x:v>
      </x:c>
      <x:c r="E213" s="17" t="n">
        <x:f>C213-D213</x:f>
        <x:v>2.943000000000012</x:v>
      </x:c>
      <x:c r="F213" s="53" t="n">
        <x:f>100*C213/SUMIFS('Annual totals'!$B$2:$B$20,'Annual totals'!$A$2:$A$20,A213)</x:f>
        <x:v>2.1535772864100124</x:v>
      </x:c>
      <x:c r="G213" s="53" t="n">
        <x:f>100*D213/SUMIFS('Annual totals'!$C$2:$C$20,'Annual totals'!$A$2:$A$20,A213)</x:f>
        <x:v>2.4094251706076415</x:v>
      </x:c>
    </x:row>
    <x:row r="214" ht="23" customHeight="1">
      <x:c r="A214" s="4" t="n">
        <x:v>1934</x:v>
      </x:c>
      <x:c r="B214" s="14" t="str">
        <x:v>France</x:v>
      </x:c>
      <x:c r="C214" s="6" t="n">
        <x:v>301</x:v>
      </x:c>
      <x:c r="D214" s="6" t="n">
        <x:v>410</x:v>
      </x:c>
      <x:c r="E214" s="17" t="n">
        <x:f>C214-D214</x:f>
        <x:v>-109</x:v>
      </x:c>
      <x:c r="F214" s="53" t="n">
        <x:f>100*C214/SUMIFS('Annual totals'!$B$2:$B$20,'Annual totals'!$A$2:$A$20,A214)</x:f>
        <x:v>4.130332434128402</x:v>
      </x:c>
      <x:c r="G214" s="53" t="n">
        <x:f>100*D214/SUMIFS('Annual totals'!$C$2:$C$20,'Annual totals'!$A$2:$A$20,A214)</x:f>
        <x:v>6.414703376293072</x:v>
      </x:c>
    </x:row>
    <x:row r="215" ht="23" customHeight="1">
      <x:c r="A215" s="4" t="n">
        <x:v>1934</x:v>
      </x:c>
      <x:c r="B215" s="14" t="str">
        <x:v>Germany</x:v>
      </x:c>
      <x:c r="C215" s="6" t="n">
        <x:v>1617.626</x:v>
      </x:c>
      <x:c r="D215" s="6" t="n">
        <x:v>1707</x:v>
      </x:c>
      <x:c r="E215" s="17" t="n">
        <x:f>C215-D215</x:f>
        <x:v>-89.37400000000002</x:v>
      </x:c>
      <x:c r="F215" s="53" t="n">
        <x:f>100*C215/SUMIFS('Annual totals'!$B$2:$B$20,'Annual totals'!$A$2:$A$20,A215)</x:f>
        <x:v>22.197120046808607</x:v>
      </x:c>
      <x:c r="G215" s="53" t="n">
        <x:f>100*D215/SUMIFS('Annual totals'!$C$2:$C$20,'Annual totals'!$A$2:$A$20,A215)</x:f>
        <x:v>26.70706991056652</x:v>
      </x:c>
    </x:row>
    <x:row r="216" ht="23" customHeight="1">
      <x:c r="A216" s="4" t="n">
        <x:v>1934</x:v>
      </x:c>
      <x:c r="B216" s="14" t="str">
        <x:v>Hungary</x:v>
      </x:c>
      <x:c r="C216" s="6" t="n">
        <x:v>153.58</x:v>
      </x:c>
      <x:c r="D216" s="6" t="n">
        <x:v>128.053</x:v>
      </x:c>
      <x:c r="E216" s="17" t="n">
        <x:f>C216-D216</x:f>
        <x:v>25.527000000000015</x:v>
      </x:c>
      <x:c r="F216" s="53" t="n">
        <x:f>100*C216/SUMIFS('Annual totals'!$B$2:$B$20,'Annual totals'!$A$2:$A$20,A216)</x:f>
        <x:v>2.1074300838320266</x:v>
      </x:c>
      <x:c r="G216" s="53" t="n">
        <x:f>100*D216/SUMIFS('Annual totals'!$C$2:$C$20,'Annual totals'!$A$2:$A$20,A216)</x:f>
        <x:v>2.0034683205962356</x:v>
      </x:c>
    </x:row>
    <x:row r="217" ht="23" customHeight="1">
      <x:c r="A217" s="4" t="n">
        <x:v>1934</x:v>
      </x:c>
      <x:c r="B217" s="14" t="str">
        <x:v>Italy</x:v>
      </x:c>
      <x:c r="C217" s="6" t="n">
        <x:v>231.849</x:v>
      </x:c>
      <x:c r="D217" s="6" t="n">
        <x:v>263</x:v>
      </x:c>
      <x:c r="E217" s="17" t="n">
        <x:f>C217-D217</x:f>
        <x:v>-31.15100000000001</x:v>
      </x:c>
      <x:c r="F217" s="53" t="n">
        <x:f>100*C217/SUMIFS('Annual totals'!$B$2:$B$20,'Annual totals'!$A$2:$A$20,A217)</x:f>
        <x:v>3.1814400150173943</x:v>
      </x:c>
      <x:c r="G217" s="53" t="n">
        <x:f>100*D217/SUMIFS('Annual totals'!$C$2:$C$20,'Annual totals'!$A$2:$A$20,A217)</x:f>
        <x:v>4.114797531622141</x:v>
      </x:c>
    </x:row>
    <x:row r="218" ht="23" customHeight="1">
      <x:c r="A218" s="4" t="n">
        <x:v>1934</x:v>
      </x:c>
      <x:c r="B218" s="14" t="str">
        <x:v>Netherlands</x:v>
      </x:c>
      <x:c r="C218" s="6" t="n">
        <x:v>271</x:v>
      </x:c>
      <x:c r="D218" s="6" t="n">
        <x:v>236</x:v>
      </x:c>
      <x:c r="E218" s="17" t="n">
        <x:f>C218-D218</x:f>
        <x:v>35</x:v>
      </x:c>
      <x:c r="F218" s="53" t="n">
        <x:f>100*C218/SUMIFS('Annual totals'!$B$2:$B$20,'Annual totals'!$A$2:$A$20,A218)</x:f>
        <x:v>3.7186713941820493</x:v>
      </x:c>
      <x:c r="G218" s="53" t="n">
        <x:f>100*D218/SUMIFS('Annual totals'!$C$2:$C$20,'Annual totals'!$A$2:$A$20,A218)</x:f>
        <x:v>3.692365845866256</x:v>
      </x:c>
    </x:row>
    <x:row r="219" ht="23" customHeight="1">
      <x:c r="A219" s="4" t="n">
        <x:v>1934</x:v>
      </x:c>
      <x:c r="B219" s="14" t="str">
        <x:v>Poland</x:v>
      </x:c>
      <x:c r="C219" s="6" t="n">
        <x:v>145.413</x:v>
      </x:c>
      <x:c r="D219" s="6" t="n">
        <x:v>235</x:v>
      </x:c>
      <x:c r="E219" s="17" t="n">
        <x:f>C219-D219</x:f>
        <x:v>-89.58699999999999</x:v>
      </x:c>
      <x:c r="F219" s="53" t="n">
        <x:f>100*C219/SUMIFS('Annual totals'!$B$2:$B$20,'Annual totals'!$A$2:$A$20,A219)</x:f>
        <x:v>1.9953622267239646</x:v>
      </x:c>
      <x:c r="G219" s="53" t="n">
        <x:f>100*D219/SUMIFS('Annual totals'!$C$2:$C$20,'Annual totals'!$A$2:$A$20,A219)</x:f>
        <x:v>3.676720227875297</x:v>
      </x:c>
    </x:row>
    <x:row r="220" ht="23" customHeight="1">
      <x:c r="A220" s="4" t="n">
        <x:v>1934</x:v>
      </x:c>
      <x:c r="B220" s="14" t="str">
        <x:v>Romania</x:v>
      </x:c>
      <x:c r="C220" s="6" t="n">
        <x:v>270.615</x:v>
      </x:c>
      <x:c r="D220" s="6" t="n">
        <x:v>185.301</x:v>
      </x:c>
      <x:c r="E220" s="17" t="n">
        <x:f>C220-D220</x:f>
        <x:v>85.31400000000002</x:v>
      </x:c>
      <x:c r="F220" s="53" t="n">
        <x:f>100*C220/SUMIFS('Annual totals'!$B$2:$B$20,'Annual totals'!$A$2:$A$20,A220)</x:f>
        <x:v>3.713388410836071</x:v>
      </x:c>
      <x:c r="G220" s="53" t="n">
        <x:f>100*D220/SUMIFS('Annual totals'!$C$2:$C$20,'Annual totals'!$A$2:$A$20,A220)</x:f>
        <x:v>2.89914865934264</x:v>
      </x:c>
    </x:row>
    <x:row r="221" ht="23" customHeight="1">
      <x:c r="A221" s="4" t="n">
        <x:v>1934</x:v>
      </x:c>
      <x:c r="B221" s="14" t="str">
        <x:v>Sweden</x:v>
      </x:c>
      <x:c r="C221" s="6" t="n">
        <x:v>166.157</x:v>
      </x:c>
      <x:c r="D221" s="6" t="n">
        <x:v>121</x:v>
      </x:c>
      <x:c r="E221" s="17" t="n">
        <x:f>C221-D221</x:f>
        <x:v>45.15700000000001</x:v>
      </x:c>
      <x:c r="F221" s="53" t="n">
        <x:f>100*C221/SUMIFS('Annual totals'!$B$2:$B$20,'Annual totals'!$A$2:$A$20,A221)</x:f>
        <x:v>2.2800121138122025</x:v>
      </x:c>
      <x:c r="G221" s="53" t="n">
        <x:f>100*D221/SUMIFS('Annual totals'!$C$2:$C$20,'Annual totals'!$A$2:$A$20,A221)</x:f>
        <x:v>1.893119776906004</x:v>
      </x:c>
    </x:row>
    <x:row r="222" ht="23" customHeight="1">
      <x:c r="A222" s="4" t="n">
        <x:v>1934</x:v>
      </x:c>
      <x:c r="B222" s="14" t="str">
        <x:v>Switzerland</x:v>
      </x:c>
      <x:c r="C222" s="6" t="n">
        <x:v>305.09</x:v>
      </x:c>
      <x:c r="D222" s="6" t="n">
        <x:v>197</x:v>
      </x:c>
      <x:c r="E222" s="17" t="n">
        <x:f>C222-D222</x:f>
        <x:v>108.08999999999997</x:v>
      </x:c>
      <x:c r="F222" s="53" t="n">
        <x:f>100*C222/SUMIFS('Annual totals'!$B$2:$B$20,'Annual totals'!$A$2:$A$20,A222)</x:f>
        <x:v>4.186455555907754</x:v>
      </x:c>
      <x:c r="G222" s="53" t="n">
        <x:f>100*D222/SUMIFS('Annual totals'!$C$2:$C$20,'Annual totals'!$A$2:$A$20,A222)</x:f>
        <x:v>3.082186744218866</x:v>
      </x:c>
    </x:row>
    <x:row r="223" ht="23" customHeight="1">
      <x:c r="A223" s="4" t="n">
        <x:v>1934</x:v>
      </x:c>
      <x:c r="B223" s="14" t="str">
        <x:v>USSR</x:v>
      </x:c>
      <x:c r="C223" s="6" t="n">
        <x:v>31.939</x:v>
      </x:c>
      <x:c r="D223" s="6" t="n">
        <x:v>96</x:v>
      </x:c>
      <x:c r="E223" s="17" t="n">
        <x:f>C223-D223</x:f>
        <x:v>-64.061</x:v>
      </x:c>
      <x:c r="F223" s="53" t="n">
        <x:f>100*C223/SUMIFS('Annual totals'!$B$2:$B$20,'Annual totals'!$A$2:$A$20,A223)</x:f>
        <x:v>0.4382680651615516</x:v>
      </x:c>
      <x:c r="G223" s="53" t="n">
        <x:f>100*D223/SUMIFS('Annual totals'!$C$2:$C$20,'Annual totals'!$A$2:$A$20,A223)</x:f>
        <x:v>1.5019793271320363</x:v>
      </x:c>
    </x:row>
    <x:row r="224" ht="23" customHeight="1">
      <x:c r="A224" s="4" t="n">
        <x:v>1934</x:v>
      </x:c>
      <x:c r="B224" s="14" t="str">
        <x:v>United Kingdom</x:v>
      </x:c>
      <x:c r="C224" s="6" t="n">
        <x:v>466</x:v>
      </x:c>
      <x:c r="D224" s="6" t="n">
        <x:v>331</x:v>
      </x:c>
      <x:c r="E224" s="17" t="n">
        <x:f>C224-D224</x:f>
        <x:v>135</x:v>
      </x:c>
      <x:c r="F224" s="53" t="n">
        <x:f>100*C224/SUMIFS('Annual totals'!$B$2:$B$20,'Annual totals'!$A$2:$A$20,A224)</x:f>
        <x:v>6.39446815383334</x:v>
      </x:c>
      <x:c r="G224" s="53" t="n">
        <x:f>100*D224/SUMIFS('Annual totals'!$C$2:$C$20,'Annual totals'!$A$2:$A$20,A224)</x:f>
        <x:v>5.178699555007333</x:v>
      </x:c>
    </x:row>
    <x:row r="225" ht="23" customHeight="1">
      <x:c r="A225" s="4" t="n">
        <x:v>1934</x:v>
      </x:c>
      <x:c r="B225" s="14" t="str">
        <x:v>United States</x:v>
      </x:c>
      <x:c r="C225" s="6" t="n">
        <x:v>494.142</x:v>
      </x:c>
      <x:c r="D225" s="6" t="n">
        <x:v>355</x:v>
      </x:c>
      <x:c r="E225" s="17" t="n">
        <x:f>C225-D225</x:f>
        <x:v>139.142</x:v>
      </x:c>
      <x:c r="F225" s="53" t="n">
        <x:f>100*C225/SUMIFS('Annual totals'!$B$2:$B$20,'Annual totals'!$A$2:$A$20,A225)</x:f>
        <x:v>6.780633653372347</x:v>
      </x:c>
      <x:c r="G225" s="53" t="n">
        <x:f>100*D225/SUMIFS('Annual totals'!$C$2:$C$20,'Annual totals'!$A$2:$A$20,A225)</x:f>
        <x:v>5.554194386790343</x:v>
      </x:c>
    </x:row>
    <x:row r="226" ht="23" customHeight="1">
      <x:c r="A226" s="4" t="n">
        <x:v>1934</x:v>
      </x:c>
      <x:c r="B226" s="14" t="str">
        <x:v>Yugoslavia</x:v>
      </x:c>
      <x:c r="C226" s="6" t="n">
        <x:v>257.819</x:v>
      </x:c>
      <x:c r="D226" s="6" t="n">
        <x:v>200</x:v>
      </x:c>
      <x:c r="E226" s="17" t="n">
        <x:f>C226-D226</x:f>
        <x:v>57.81900000000002</x:v>
      </x:c>
      <x:c r="F226" s="53" t="n">
        <x:f>100*C226/SUMIFS('Annual totals'!$B$2:$B$20,'Annual totals'!$A$2:$A$20,A226)</x:f>
        <x:v>3.5378012552642875</x:v>
      </x:c>
      <x:c r="G226" s="53" t="n">
        <x:f>100*D226/SUMIFS('Annual totals'!$C$2:$C$20,'Annual totals'!$A$2:$A$20,A226)</x:f>
        <x:v>3.1291235981917422</x:v>
      </x:c>
    </x:row>
    <x:row r="227" ht="23" customHeight="1">
      <x:c r="A227" s="4" t="n">
        <x:v>1935</x:v>
      </x:c>
      <x:c r="B227" s="14" t="str">
        <x:v>Austria</x:v>
      </x:c>
      <x:c r="C227" s="6" t="n">
        <x:v>753.7</x:v>
      </x:c>
      <x:c r="D227" s="6" t="n">
        <x:v>310</x:v>
      </x:c>
      <x:c r="E227" s="17" t="n">
        <x:f>C227-D227</x:f>
        <x:v>443.70000000000005</x:v>
      </x:c>
      <x:c r="F227" s="53" t="n">
        <x:f>100*C227/SUMIFS('Annual totals'!$B$2:$B$20,'Annual totals'!$A$2:$A$20,A227)</x:f>
        <x:v>9.484500951281477</x:v>
      </x:c>
      <x:c r="G227" s="53" t="n">
        <x:f>100*D227/SUMIFS('Annual totals'!$C$2:$C$20,'Annual totals'!$A$2:$A$20,A227)</x:f>
        <x:v>4.59724159572332</x:v>
      </x:c>
    </x:row>
    <x:row r="228" ht="23" customHeight="1">
      <x:c r="A228" s="4" t="n">
        <x:v>1935</x:v>
      </x:c>
      <x:c r="B228" s="14" t="str">
        <x:v>Belgium and Luxembourg</x:v>
      </x:c>
      <x:c r="C228" s="6" t="n">
        <x:v>155.6</x:v>
      </x:c>
      <x:c r="D228" s="6" t="n">
        <x:v>172</x:v>
      </x:c>
      <x:c r="E228" s="17" t="n">
        <x:f>C228-D228</x:f>
        <x:v>-16.400000000000006</x:v>
      </x:c>
      <x:c r="F228" s="53" t="n">
        <x:f>100*C228/SUMIFS('Annual totals'!$B$2:$B$20,'Annual totals'!$A$2:$A$20,A228)</x:f>
        <x:v>1.958058044340451</x:v>
      </x:c>
      <x:c r="G228" s="53" t="n">
        <x:f>100*D228/SUMIFS('Annual totals'!$C$2:$C$20,'Annual totals'!$A$2:$A$20,A228)</x:f>
        <x:v>2.550727595046487</x:v>
      </x:c>
    </x:row>
    <x:row r="229" ht="23" customHeight="1">
      <x:c r="A229" s="4" t="n">
        <x:v>1935</x:v>
      </x:c>
      <x:c r="B229" s="14" t="str">
        <x:v>France</x:v>
      </x:c>
      <x:c r="C229" s="6" t="n">
        <x:v>318</x:v>
      </x:c>
      <x:c r="D229" s="6" t="n">
        <x:v>376</x:v>
      </x:c>
      <x:c r="E229" s="17" t="n">
        <x:f>C229-D229</x:f>
        <x:v>-58</x:v>
      </x:c>
      <x:c r="F229" s="53" t="n">
        <x:f>100*C229/SUMIFS('Annual totals'!$B$2:$B$20,'Annual totals'!$A$2:$A$20,A229)</x:f>
        <x:v>4.001686748716345</x:v>
      </x:c>
      <x:c r="G229" s="53" t="n">
        <x:f>100*D229/SUMIFS('Annual totals'!$C$2:$C$20,'Annual totals'!$A$2:$A$20,A229)</x:f>
        <x:v>5.576009161264413</x:v>
      </x:c>
    </x:row>
    <x:row r="230" ht="23" customHeight="1">
      <x:c r="A230" s="4" t="n">
        <x:v>1935</x:v>
      </x:c>
      <x:c r="B230" s="14" t="str">
        <x:v>Germany</x:v>
      </x:c>
      <x:c r="C230" s="6" t="n">
        <x:v>1224</x:v>
      </x:c>
      <x:c r="D230" s="6" t="n">
        <x:v>1536</x:v>
      </x:c>
      <x:c r="E230" s="17" t="n">
        <x:f>C230-D230</x:f>
        <x:v>-312</x:v>
      </x:c>
      <x:c r="F230" s="53" t="n">
        <x:f>100*C230/SUMIFS('Annual totals'!$B$2:$B$20,'Annual totals'!$A$2:$A$20,A230)</x:f>
        <x:v>15.402718806379896</x:v>
      </x:c>
      <x:c r="G230" s="53" t="n">
        <x:f>100*D230/SUMIFS('Annual totals'!$C$2:$C$20,'Annual totals'!$A$2:$A$20,A230)</x:f>
        <x:v>22.778590616229092</x:v>
      </x:c>
    </x:row>
    <x:row r="231" ht="23" customHeight="1">
      <x:c r="A231" s="4" t="n">
        <x:v>1935</x:v>
      </x:c>
      <x:c r="B231" s="14" t="str">
        <x:v>Hungary</x:v>
      </x:c>
      <x:c r="C231" s="6" t="n">
        <x:v>139.1</x:v>
      </x:c>
      <x:c r="D231" s="6" t="n">
        <x:v>133</x:v>
      </x:c>
      <x:c r="E231" s="17" t="n">
        <x:f>C231-D231</x:f>
        <x:v>6.099999999999994</x:v>
      </x:c>
      <x:c r="F231" s="53" t="n">
        <x:f>100*C231/SUMIFS('Annual totals'!$B$2:$B$20,'Annual totals'!$A$2:$A$20,A231)</x:f>
        <x:v>1.750423354548565</x:v>
      </x:c>
      <x:c r="G231" s="53" t="n">
        <x:f>100*D231/SUMIFS('Annual totals'!$C$2:$C$20,'Annual totals'!$A$2:$A$20,A231)</x:f>
        <x:v>1.9723649426812953</x:v>
      </x:c>
    </x:row>
    <x:row r="232" ht="23" customHeight="1">
      <x:c r="A232" s="4" t="n">
        <x:v>1935</x:v>
      </x:c>
      <x:c r="B232" s="14" t="str">
        <x:v>Italy</x:v>
      </x:c>
      <x:c r="C232" s="6" t="n">
        <x:v>228.1</x:v>
      </x:c>
      <x:c r="D232" s="6" t="n">
        <x:v>242</x:v>
      </x:c>
      <x:c r="E232" s="17" t="n">
        <x:f>C232-D232</x:f>
        <x:v>-13.900000000000006</x:v>
      </x:c>
      <x:c r="F232" s="53" t="n">
        <x:f>100*C232/SUMIFS('Annual totals'!$B$2:$B$20,'Annual totals'!$A$2:$A$20,A232)</x:f>
        <x:v>2.8703922873654037</x:v>
      </x:c>
      <x:c r="G232" s="53" t="n">
        <x:f>100*D232/SUMIFS('Annual totals'!$C$2:$C$20,'Annual totals'!$A$2:$A$20,A232)</x:f>
        <x:v>3.5888144069840107</x:v>
      </x:c>
    </x:row>
    <x:row r="233" ht="23" customHeight="1">
      <x:c r="A233" s="4" t="n">
        <x:v>1935</x:v>
      </x:c>
      <x:c r="B233" s="14" t="str">
        <x:v>Netherlands</x:v>
      </x:c>
      <x:c r="C233" s="6" t="n">
        <x:v>288</x:v>
      </x:c>
      <x:c r="D233" s="6" t="n">
        <x:v>293</x:v>
      </x:c>
      <x:c r="E233" s="17" t="n">
        <x:f>C233-D233</x:f>
        <x:v>-5</x:v>
      </x:c>
      <x:c r="F233" s="53" t="n">
        <x:f>100*C233/SUMIFS('Annual totals'!$B$2:$B$20,'Annual totals'!$A$2:$A$20,A233)</x:f>
        <x:v>3.6241691309129167</x:v>
      </x:c>
      <x:c r="G233" s="53" t="n">
        <x:f>100*D233/SUMIFS('Annual totals'!$C$2:$C$20,'Annual totals'!$A$2:$A$20,A233)</x:f>
        <x:v>4.345134798538492</x:v>
      </x:c>
    </x:row>
    <x:row r="234" ht="23" customHeight="1">
      <x:c r="A234" s="4" t="n">
        <x:v>1935</x:v>
      </x:c>
      <x:c r="B234" s="14" t="str">
        <x:v>Poland</x:v>
      </x:c>
      <x:c r="C234" s="6" t="n">
        <x:v>263.5</x:v>
      </x:c>
      <x:c r="D234" s="6" t="n">
        <x:v>252</x:v>
      </x:c>
      <x:c r="E234" s="17" t="n">
        <x:f>C234-D234</x:f>
        <x:v>11.5</x:v>
      </x:c>
      <x:c r="F234" s="53" t="n">
        <x:f>100*C234/SUMIFS('Annual totals'!$B$2:$B$20,'Annual totals'!$A$2:$A$20,A234)</x:f>
        <x:v>3.31586307637345</x:v>
      </x:c>
      <x:c r="G234" s="53" t="n">
        <x:f>100*D234/SUMIFS('Annual totals'!$C$2:$C$20,'Annual totals'!$A$2:$A$20,A234)</x:f>
        <x:v>3.7371125229750857</x:v>
      </x:c>
    </x:row>
    <x:row r="235" ht="23" customHeight="1">
      <x:c r="A235" s="4" t="n">
        <x:v>1935</x:v>
      </x:c>
      <x:c r="B235" s="14" t="str">
        <x:v>Romania</x:v>
      </x:c>
      <x:c r="C235" s="6" t="n">
        <x:v>383.2</x:v>
      </x:c>
      <x:c r="D235" s="6" t="n">
        <x:v>259.5</x:v>
      </x:c>
      <x:c r="E235" s="17" t="n">
        <x:f>C235-D235</x:f>
        <x:v>123.69999999999999</x:v>
      </x:c>
      <x:c r="F235" s="53" t="n">
        <x:f>100*C235/SUMIFS('Annual totals'!$B$2:$B$20,'Annual totals'!$A$2:$A$20,A235)</x:f>
        <x:v>4.822158371409131</x:v>
      </x:c>
      <x:c r="G235" s="53" t="n">
        <x:f>100*D235/SUMIFS('Annual totals'!$C$2:$C$20,'Annual totals'!$A$2:$A$20,A235)</x:f>
        <x:v>3.848336109968392</x:v>
      </x:c>
    </x:row>
    <x:row r="236" ht="23" customHeight="1">
      <x:c r="A236" s="4" t="n">
        <x:v>1935</x:v>
      </x:c>
      <x:c r="B236" s="14" t="str">
        <x:v>Sweden</x:v>
      </x:c>
      <x:c r="C236" s="6" t="n">
        <x:v>192.4</x:v>
      </x:c>
      <x:c r="D236" s="6" t="n">
        <x:v>151</x:v>
      </x:c>
      <x:c r="E236" s="17" t="n">
        <x:f>C236-D236</x:f>
        <x:v>41.400000000000006</x:v>
      </x:c>
      <x:c r="F236" s="53" t="n">
        <x:f>100*C236/SUMIFS('Annual totals'!$B$2:$B$20,'Annual totals'!$A$2:$A$20,A236)</x:f>
        <x:v>2.4211463221793235</x:v>
      </x:c>
      <x:c r="G236" s="53" t="n">
        <x:f>100*D236/SUMIFS('Annual totals'!$C$2:$C$20,'Annual totals'!$A$2:$A$20,A236)</x:f>
        <x:v>2.2393015514652297</x:v>
      </x:c>
    </x:row>
    <x:row r="237" ht="23" customHeight="1">
      <x:c r="A237" s="4" t="n">
        <x:v>1935</x:v>
      </x:c>
      <x:c r="B237" s="14" t="str">
        <x:v>Switzerland</x:v>
      </x:c>
      <x:c r="C237" s="6" t="n">
        <x:v>780.7</x:v>
      </x:c>
      <x:c r="D237" s="6" t="n">
        <x:v>201</x:v>
      </x:c>
      <x:c r="E237" s="17" t="n">
        <x:f>C237-D237</x:f>
        <x:v>579.7</x:v>
      </x:c>
      <x:c r="F237" s="53" t="n">
        <x:f>100*C237/SUMIFS('Annual totals'!$B$2:$B$20,'Annual totals'!$A$2:$A$20,A237)</x:f>
        <x:v>9.824266807304562</x:v>
      </x:c>
      <x:c r="G237" s="53" t="n">
        <x:f>100*D237/SUMIFS('Annual totals'!$C$2:$C$20,'Annual totals'!$A$2:$A$20,A237)</x:f>
        <x:v>2.980792131420604</x:v>
      </x:c>
    </x:row>
    <x:row r="238" ht="23" customHeight="1">
      <x:c r="A238" s="4" t="n">
        <x:v>1935</x:v>
      </x:c>
      <x:c r="B238" s="14" t="str">
        <x:v>USSR</x:v>
      </x:c>
      <x:c r="C238" s="6" t="n">
        <x:v>104.2</x:v>
      </x:c>
      <x:c r="D238" s="6" t="n">
        <x:v>73</x:v>
      </x:c>
      <x:c r="E238" s="17" t="n">
        <x:f>C238-D238</x:f>
        <x:v>31.200000000000003</x:v>
      </x:c>
      <x:c r="F238" s="53" t="n">
        <x:f>100*C238/SUMIFS('Annual totals'!$B$2:$B$20,'Annual totals'!$A$2:$A$20,A238)</x:f>
        <x:v>1.3112445258372427</x:v>
      </x:c>
      <x:c r="G238" s="53" t="n">
        <x:f>100*D238/SUMIFS('Annual totals'!$C$2:$C$20,'Annual totals'!$A$2:$A$20,A238)</x:f>
        <x:v>1.0825762467348463</x:v>
      </x:c>
    </x:row>
    <x:row r="239" ht="23" customHeight="1">
      <x:c r="A239" s="4" t="n">
        <x:v>1935</x:v>
      </x:c>
      <x:c r="B239" s="14" t="str">
        <x:v>United Kingdom</x:v>
      </x:c>
      <x:c r="C239" s="6" t="n">
        <x:v>547</x:v>
      </x:c>
      <x:c r="D239" s="6" t="n">
        <x:v>367</x:v>
      </x:c>
      <x:c r="E239" s="17" t="n">
        <x:f>C239-D239</x:f>
        <x:v>180</x:v>
      </x:c>
      <x:c r="F239" s="53" t="n">
        <x:f>100*C239/SUMIFS('Annual totals'!$B$2:$B$20,'Annual totals'!$A$2:$A$20,A239)</x:f>
        <x:v>6.883404564615852</x:v>
      </x:c>
      <x:c r="G239" s="53" t="n">
        <x:f>100*D239/SUMIFS('Annual totals'!$C$2:$C$20,'Annual totals'!$A$2:$A$20,A239)</x:f>
        <x:v>5.442540856872446</x:v>
      </x:c>
    </x:row>
    <x:row r="240" ht="23" customHeight="1">
      <x:c r="A240" s="4" t="n">
        <x:v>1935</x:v>
      </x:c>
      <x:c r="B240" s="14" t="str">
        <x:v>United States</x:v>
      </x:c>
      <x:c r="C240" s="6" t="n">
        <x:v>615.3</x:v>
      </x:c>
      <x:c r="D240" s="6" t="n">
        <x:v>400</x:v>
      </x:c>
      <x:c r="E240" s="17" t="n">
        <x:f>C240-D240</x:f>
        <x:v>215.29999999999995</x:v>
      </x:c>
      <x:c r="F240" s="53" t="n">
        <x:f>100*C240/SUMIFS('Annual totals'!$B$2:$B$20,'Annual totals'!$A$2:$A$20,A240)</x:f>
        <x:v>7.742886341148324</x:v>
      </x:c>
      <x:c r="G240" s="53" t="n">
        <x:f>100*D240/SUMIFS('Annual totals'!$C$2:$C$20,'Annual totals'!$A$2:$A$20,A240)</x:f>
        <x:v>5.931924639642993</x:v>
      </x:c>
    </x:row>
    <x:row r="241" ht="23" customHeight="1">
      <x:c r="A241" s="4" t="n">
        <x:v>1935</x:v>
      </x:c>
      <x:c r="B241" s="14" t="str">
        <x:v>Yugoslavia</x:v>
      </x:c>
      <x:c r="C241" s="6" t="n">
        <x:v>318.1</x:v>
      </x:c>
      <x:c r="D241" s="6" t="n">
        <x:v>363</x:v>
      </x:c>
      <x:c r="E241" s="17" t="n">
        <x:f>C241-D241</x:f>
        <x:v>-44.89999999999998</x:v>
      </x:c>
      <x:c r="F241" s="53" t="n">
        <x:f>100*C241/SUMIFS('Annual totals'!$B$2:$B$20,'Annual totals'!$A$2:$A$20,A241)</x:f>
        <x:v>4.002945140775691</x:v>
      </x:c>
      <x:c r="G241" s="53" t="n">
        <x:f>100*D241/SUMIFS('Annual totals'!$C$2:$C$20,'Annual totals'!$A$2:$A$20,A241)</x:f>
        <x:v>5.383221610476016</x:v>
      </x:c>
    </x:row>
    <x:row r="242" ht="23" customHeight="1">
      <x:c r="A242" s="4" t="n">
        <x:v>1936</x:v>
      </x:c>
      <x:c r="B242" s="14" t="str">
        <x:v>Austria</x:v>
      </x:c>
      <x:c r="C242" s="6" t="n">
        <x:v>716.1</x:v>
      </x:c>
      <x:c r="D242" s="6" t="n">
        <x:v>355</x:v>
      </x:c>
      <x:c r="E242" s="17" t="n">
        <x:f>C242-D242</x:f>
        <x:v>361.1</x:v>
      </x:c>
      <x:c r="F242" s="53" t="n">
        <x:f>100*C242/SUMIFS('Annual totals'!$B$2:$B$20,'Annual totals'!$A$2:$A$20,A242)</x:f>
        <x:v>8.910741767923021</x:v>
      </x:c>
      <x:c r="G242" s="53" t="n">
        <x:f>100*D242/SUMIFS('Annual totals'!$C$2:$C$20,'Annual totals'!$A$2:$A$20,A242)</x:f>
        <x:v>4.485032939724316</x:v>
      </x:c>
    </x:row>
    <x:row r="243" ht="23" customHeight="1">
      <x:c r="A243" s="4" t="n">
        <x:v>1936</x:v>
      </x:c>
      <x:c r="B243" s="14" t="str">
        <x:v>Belgium and Luxembourg</x:v>
      </x:c>
      <x:c r="C243" s="6" t="n">
        <x:v>192.3</x:v>
      </x:c>
      <x:c r="D243" s="6" t="n">
        <x:v>235</x:v>
      </x:c>
      <x:c r="E243" s="17" t="n">
        <x:f>C243-D243</x:f>
        <x:v>-42.69999999999999</x:v>
      </x:c>
      <x:c r="F243" s="53" t="n">
        <x:f>100*C243/SUMIFS('Annual totals'!$B$2:$B$20,'Annual totals'!$A$2:$A$20,A243)</x:f>
        <x:v>2.392872003870405</x:v>
      </x:c>
      <x:c r="G243" s="53" t="n">
        <x:f>100*D243/SUMIFS('Annual totals'!$C$2:$C$20,'Annual totals'!$A$2:$A$20,A243)</x:f>
        <x:v>2.9689654671414485</x:v>
      </x:c>
    </x:row>
    <x:row r="244" ht="23" customHeight="1">
      <x:c r="A244" s="4" t="n">
        <x:v>1936</x:v>
      </x:c>
      <x:c r="B244" s="14" t="str">
        <x:v>France</x:v>
      </x:c>
      <x:c r="C244" s="6" t="n">
        <x:v>343</x:v>
      </x:c>
      <x:c r="D244" s="6" t="n">
        <x:v>479</x:v>
      </x:c>
      <x:c r="E244" s="17" t="n">
        <x:f>C244-D244</x:f>
        <x:v>-136</x:v>
      </x:c>
      <x:c r="F244" s="53" t="n">
        <x:f>100*C244/SUMIFS('Annual totals'!$B$2:$B$20,'Annual totals'!$A$2:$A$20,A244)</x:f>
        <x:v>4.2680972299924544</x:v>
      </x:c>
      <x:c r="G244" s="53" t="n">
        <x:f>100*D244/SUMIFS('Annual totals'!$C$2:$C$20,'Annual totals'!$A$2:$A$20,A244)</x:f>
        <x:v>6.051635994726612</x:v>
      </x:c>
    </x:row>
    <x:row r="245" ht="23" customHeight="1">
      <x:c r="A245" s="4" t="n">
        <x:v>1936</x:v>
      </x:c>
      <x:c r="B245" s="14" t="str">
        <x:v>Germany</x:v>
      </x:c>
      <x:c r="C245" s="6" t="n">
        <x:v>1229.9</x:v>
      </x:c>
      <x:c r="D245" s="6" t="n">
        <x:v>1835</x:v>
      </x:c>
      <x:c r="E245" s="17" t="n">
        <x:f>C245-D245</x:f>
        <x:v>-605.0999999999999</x:v>
      </x:c>
      <x:c r="F245" s="53" t="n">
        <x:f>100*C245/SUMIFS('Annual totals'!$B$2:$B$20,'Annual totals'!$A$2:$A$20,A245)</x:f>
        <x:v>15.304177210401516</x:v>
      </x:c>
      <x:c r="G245" s="53" t="n">
        <x:f>100*D245/SUMIFS('Annual totals'!$C$2:$C$20,'Annual totals'!$A$2:$A$20,A245)</x:f>
        <x:v>23.183198434913013</x:v>
      </x:c>
    </x:row>
    <x:row r="246" ht="23" customHeight="1">
      <x:c r="A246" s="4" t="n">
        <x:v>1936</x:v>
      </x:c>
      <x:c r="B246" s="14" t="str">
        <x:v>Hungary</x:v>
      </x:c>
      <x:c r="C246" s="6" t="n">
        <x:v>157.2</x:v>
      </x:c>
      <x:c r="D246" s="6" t="n">
        <x:v>144</x:v>
      </x:c>
      <x:c r="E246" s="17" t="n">
        <x:f>C246-D246</x:f>
        <x:v>13.199999999999989</x:v>
      </x:c>
      <x:c r="F246" s="53" t="n">
        <x:f>100*C246/SUMIFS('Annual totals'!$B$2:$B$20,'Annual totals'!$A$2:$A$20,A246)</x:f>
        <x:v>1.9561075351452295</x:v>
      </x:c>
      <x:c r="G246" s="53" t="n">
        <x:f>100*D246/SUMIFS('Annual totals'!$C$2:$C$20,'Annual totals'!$A$2:$A$20,A246)</x:f>
        <x:v>1.8192809670994408</x:v>
      </x:c>
    </x:row>
    <x:row r="247" ht="23" customHeight="1">
      <x:c r="A247" s="4" t="n">
        <x:v>1936</x:v>
      </x:c>
      <x:c r="B247" s="14" t="str">
        <x:v>Italy</x:v>
      </x:c>
      <x:c r="C247" s="6" t="n">
        <x:v>115.6</x:v>
      </x:c>
      <x:c r="D247" s="6" t="n">
        <x:v>95</x:v>
      </x:c>
      <x:c r="E247" s="17" t="n">
        <x:f>C247-D247</x:f>
        <x:v>20.599999999999994</x:v>
      </x:c>
      <x:c r="F247" s="53" t="n">
        <x:f>100*C247/SUMIFS('Annual totals'!$B$2:$B$20,'Annual totals'!$A$2:$A$20,A247)</x:f>
        <x:v>1.4384607573968737</x:v>
      </x:c>
      <x:c r="G247" s="53" t="n">
        <x:f>100*D247/SUMIFS('Annual totals'!$C$2:$C$20,'Annual totals'!$A$2:$A$20,A247)</x:f>
        <x:v>1.2002200824614366</x:v>
      </x:c>
    </x:row>
    <x:row r="248" ht="23" customHeight="1">
      <x:c r="A248" s="4" t="n">
        <x:v>1936</x:v>
      </x:c>
      <x:c r="B248" s="14" t="str">
        <x:v>Netherlands</x:v>
      </x:c>
      <x:c r="C248" s="6" t="n">
        <x:v>337</x:v>
      </x:c>
      <x:c r="D248" s="6" t="n">
        <x:v>335</x:v>
      </x:c>
      <x:c r="E248" s="17" t="n">
        <x:f>C248-D248</x:f>
        <x:v>2</x:v>
      </x:c>
      <x:c r="F248" s="53" t="n">
        <x:f>100*C248/SUMIFS('Annual totals'!$B$2:$B$20,'Annual totals'!$A$2:$A$20,A248)</x:f>
        <x:v>4.19343663704798</x:v>
      </x:c>
      <x:c r="G248" s="53" t="n">
        <x:f>100*D248/SUMIFS('Annual totals'!$C$2:$C$20,'Annual totals'!$A$2:$A$20,A248)</x:f>
        <x:v>4.232355027627171</x:v>
      </x:c>
    </x:row>
    <x:row r="249" ht="23" customHeight="1">
      <x:c r="A249" s="4" t="n">
        <x:v>1936</x:v>
      </x:c>
      <x:c r="B249" s="14" t="str">
        <x:v>Poland</x:v>
      </x:c>
      <x:c r="C249" s="6" t="n">
        <x:v>169.2</x:v>
      </x:c>
      <x:c r="D249" s="6" t="n">
        <x:v>221</x:v>
      </x:c>
      <x:c r="E249" s="17" t="n">
        <x:f>C249-D249</x:f>
        <x:v>-51.80000000000001</x:v>
      </x:c>
      <x:c r="F249" s="53" t="n">
        <x:f>100*C249/SUMIFS('Annual totals'!$B$2:$B$20,'Annual totals'!$A$2:$A$20,A249)</x:f>
        <x:v>2.1054287210341784</x:v>
      </x:c>
      <x:c r="G249" s="53" t="n">
        <x:f>100*D249/SUMIFS('Annual totals'!$C$2:$C$20,'Annual totals'!$A$2:$A$20,A249)</x:f>
        <x:v>2.7920909286734474</x:v>
      </x:c>
    </x:row>
    <x:row r="250" ht="23" customHeight="1">
      <x:c r="A250" s="4" t="n">
        <x:v>1936</x:v>
      </x:c>
      <x:c r="B250" s="14" t="str">
        <x:v>Romania</x:v>
      </x:c>
      <x:c r="C250" s="6" t="n">
        <x:v>380</x:v>
      </x:c>
      <x:c r="D250" s="6" t="n">
        <x:v>361.4</x:v>
      </x:c>
      <x:c r="E250" s="17" t="n">
        <x:f>C250-D250</x:f>
        <x:v>18.600000000000023</x:v>
      </x:c>
      <x:c r="F250" s="53" t="n">
        <x:f>100*C250/SUMIFS('Annual totals'!$B$2:$B$20,'Annual totals'!$A$2:$A$20,A250)</x:f>
        <x:v>4.728504219816713</x:v>
      </x:c>
      <x:c r="G250" s="53" t="n">
        <x:f>100*D250/SUMIFS('Annual totals'!$C$2:$C$20,'Annual totals'!$A$2:$A$20,A250)</x:f>
        <x:v>4.5658898715954015</x:v>
      </x:c>
    </x:row>
    <x:row r="251" ht="23" customHeight="1">
      <x:c r="A251" s="4" t="n">
        <x:v>1936</x:v>
      </x:c>
      <x:c r="B251" s="14" t="str">
        <x:v>Sweden</x:v>
      </x:c>
      <x:c r="C251" s="6" t="n">
        <x:v>241.4</x:v>
      </x:c>
      <x:c r="D251" s="6" t="n">
        <x:v>202.5</x:v>
      </x:c>
      <x:c r="E251" s="17" t="n">
        <x:f>C251-D251</x:f>
        <x:v>38.900000000000006</x:v>
      </x:c>
      <x:c r="F251" s="53" t="n">
        <x:f>100*C251/SUMIFS('Annual totals'!$B$2:$B$20,'Annual totals'!$A$2:$A$20,A251)</x:f>
        <x:v>3.003844522799354</x:v>
      </x:c>
      <x:c r="G251" s="53" t="n">
        <x:f>100*D251/SUMIFS('Annual totals'!$C$2:$C$20,'Annual totals'!$A$2:$A$20,A251)</x:f>
        <x:v>2.5583638599835887</x:v>
      </x:c>
    </x:row>
    <x:row r="252" ht="23" customHeight="1">
      <x:c r="A252" s="4" t="n">
        <x:v>1936</x:v>
      </x:c>
      <x:c r="B252" s="14" t="str">
        <x:v>Switzerland</x:v>
      </x:c>
      <x:c r="C252" s="6" t="n">
        <x:v>325.7</x:v>
      </x:c>
      <x:c r="D252" s="6" t="n">
        <x:v>315</x:v>
      </x:c>
      <x:c r="E252" s="17" t="n">
        <x:f>C252-D252</x:f>
        <x:v>10.699999999999989</x:v>
      </x:c>
      <x:c r="F252" s="53" t="n">
        <x:f>100*C252/SUMIFS('Annual totals'!$B$2:$B$20,'Annual totals'!$A$2:$A$20,A252)</x:f>
        <x:v>4.052825853669219</x:v>
      </x:c>
      <x:c r="G252" s="53" t="n">
        <x:f>100*D252/SUMIFS('Annual totals'!$C$2:$C$20,'Annual totals'!$A$2:$A$20,A252)</x:f>
        <x:v>3.9796771155300266</x:v>
      </x:c>
    </x:row>
    <x:row r="253" ht="23" customHeight="1">
      <x:c r="A253" s="4" t="n">
        <x:v>1936</x:v>
      </x:c>
      <x:c r="B253" s="14" t="str">
        <x:v>USSR</x:v>
      </x:c>
      <x:c r="C253" s="6" t="n">
        <x:v>180.6</x:v>
      </x:c>
      <x:c r="D253" s="6" t="n">
        <x:v>91</x:v>
      </x:c>
      <x:c r="E253" s="17" t="n">
        <x:f>C253-D253</x:f>
        <x:v>89.6</x:v>
      </x:c>
      <x:c r="F253" s="53" t="n">
        <x:f>100*C253/SUMIFS('Annual totals'!$B$2:$B$20,'Annual totals'!$A$2:$A$20,A253)</x:f>
        <x:v>2.24728384762868</x:v>
      </x:c>
      <x:c r="G253" s="53" t="n">
        <x:f>100*D253/SUMIFS('Annual totals'!$C$2:$C$20,'Annual totals'!$A$2:$A$20,A253)</x:f>
        <x:v>1.1496845000420077</x:v>
      </x:c>
    </x:row>
    <x:row r="254" ht="23" customHeight="1">
      <x:c r="A254" s="4" t="n">
        <x:v>1936</x:v>
      </x:c>
      <x:c r="B254" s="14" t="str">
        <x:v>United Kingdom</x:v>
      </x:c>
      <x:c r="C254" s="6" t="n">
        <x:v>723</x:v>
      </x:c>
      <x:c r="D254" s="6" t="n">
        <x:v>475</x:v>
      </x:c>
      <x:c r="E254" s="17" t="n">
        <x:f>C254-D254</x:f>
        <x:v>248</x:v>
      </x:c>
      <x:c r="F254" s="53" t="n">
        <x:f>100*C254/SUMIFS('Annual totals'!$B$2:$B$20,'Annual totals'!$A$2:$A$20,A254)</x:f>
        <x:v>8.996601449809168</x:v>
      </x:c>
      <x:c r="G254" s="53" t="n">
        <x:f>100*D254/SUMIFS('Annual totals'!$C$2:$C$20,'Annual totals'!$A$2:$A$20,A254)</x:f>
        <x:v>6.001100412307183</x:v>
      </x:c>
    </x:row>
    <x:row r="255" ht="23" customHeight="1">
      <x:c r="A255" s="4" t="n">
        <x:v>1936</x:v>
      </x:c>
      <x:c r="B255" s="14" t="str">
        <x:v>United States</x:v>
      </x:c>
      <x:c r="C255" s="6" t="n">
        <x:v>728.7</x:v>
      </x:c>
      <x:c r="D255" s="6" t="n">
        <x:v>483</x:v>
      </x:c>
      <x:c r="E255" s="17" t="n">
        <x:f>C255-D255</x:f>
        <x:v>245.70000000000005</x:v>
      </x:c>
      <x:c r="F255" s="53" t="n">
        <x:f>100*C255/SUMIFS('Annual totals'!$B$2:$B$20,'Annual totals'!$A$2:$A$20,A255)</x:f>
        <x:v>9.067529013106418</x:v>
      </x:c>
      <x:c r="G255" s="53" t="n">
        <x:f>100*D255/SUMIFS('Annual totals'!$C$2:$C$20,'Annual totals'!$A$2:$A$20,A255)</x:f>
        <x:v>6.1021715771460405</x:v>
      </x:c>
    </x:row>
    <x:row r="256" ht="23" customHeight="1">
      <x:c r="A256" s="4" t="n">
        <x:v>1936</x:v>
      </x:c>
      <x:c r="B256" s="14" t="str">
        <x:v>Yugoslavia</x:v>
      </x:c>
      <x:c r="C256" s="6" t="n">
        <x:v>429.8</x:v>
      </x:c>
      <x:c r="D256" s="6" t="n">
        <x:v>348</x:v>
      </x:c>
      <x:c r="E256" s="17" t="n">
        <x:f>C256-D256</x:f>
        <x:v>81.80000000000001</x:v>
      </x:c>
      <x:c r="F256" s="53" t="n">
        <x:f>100*C256/SUMIFS('Annual totals'!$B$2:$B$20,'Annual totals'!$A$2:$A$20,A256)</x:f>
        <x:v>5.348187141255851</x:v>
      </x:c>
      <x:c r="G256" s="53" t="n">
        <x:f>100*D256/SUMIFS('Annual totals'!$C$2:$C$20,'Annual totals'!$A$2:$A$20,A256)</x:f>
        <x:v>4.396595670490315</x:v>
      </x:c>
    </x:row>
    <x:row r="257" ht="23" customHeight="1">
      <x:c r="A257" s="4" t="n">
        <x:v>1937</x:v>
      </x:c>
      <x:c r="B257" s="14" t="str">
        <x:v>Austria</x:v>
      </x:c>
      <x:c r="C257" s="6" t="n">
        <x:v>877.1</x:v>
      </x:c>
      <x:c r="D257" s="6" t="n">
        <x:v>457</x:v>
      </x:c>
      <x:c r="E257" s="17" t="n">
        <x:f>C257-D257</x:f>
        <x:v>420.1</x:v>
      </x:c>
      <x:c r="F257" s="53" t="n">
        <x:f>100*C257/SUMIFS('Annual totals'!$B$2:$B$20,'Annual totals'!$A$2:$A$20,A257)</x:f>
        <x:v>7.319738809420406</x:v>
      </x:c>
      <x:c r="G257" s="53" t="n">
        <x:f>100*D257/SUMIFS('Annual totals'!$C$2:$C$20,'Annual totals'!$A$2:$A$20,A257)</x:f>
        <x:v>4.161534562682818</x:v>
      </x:c>
    </x:row>
    <x:row r="258" ht="23" customHeight="1">
      <x:c r="A258" s="4" t="n">
        <x:v>1937</x:v>
      </x:c>
      <x:c r="B258" s="14" t="str">
        <x:v>Belgium and Luxembourg</x:v>
      </x:c>
      <x:c r="C258" s="6" t="n">
        <x:v>255.6</x:v>
      </x:c>
      <x:c r="D258" s="6" t="n">
        <x:v>317</x:v>
      </x:c>
      <x:c r="E258" s="17" t="n">
        <x:f>C258-D258</x:f>
        <x:v>-61.400000000000006</x:v>
      </x:c>
      <x:c r="F258" s="53" t="n">
        <x:f>100*C258/SUMIFS('Annual totals'!$B$2:$B$20,'Annual totals'!$A$2:$A$20,A258)</x:f>
        <x:v>2.1330808798174163</x:v>
      </x:c>
      <x:c r="G258" s="53" t="n">
        <x:f>100*D258/SUMIFS('Annual totals'!$C$2:$C$20,'Annual totals'!$A$2:$A$20,A258)</x:f>
        <x:v>2.886666206499898</x:v>
      </x:c>
    </x:row>
    <x:row r="259" ht="23" customHeight="1">
      <x:c r="A259" s="4" t="n">
        <x:v>1937</x:v>
      </x:c>
      <x:c r="B259" s="14" t="str">
        <x:v>France</x:v>
      </x:c>
      <x:c r="C259" s="6" t="n">
        <x:v>456.9</x:v>
      </x:c>
      <x:c r="D259" s="6" t="n">
        <x:v>577</x:v>
      </x:c>
      <x:c r="E259" s="17" t="n">
        <x:f>C259-D259</x:f>
        <x:v>-120.10000000000002</x:v>
      </x:c>
      <x:c r="F259" s="53" t="n">
        <x:f>100*C259/SUMIFS('Annual totals'!$B$2:$B$20,'Annual totals'!$A$2:$A$20,A259)</x:f>
        <x:v>3.813007253476438</x:v>
      </x:c>
      <x:c r="G259" s="53" t="n">
        <x:f>100*D259/SUMIFS('Annual totals'!$C$2:$C$20,'Annual totals'!$A$2:$A$20,A259)</x:f>
        <x:v>5.254278867982465</x:v>
      </x:c>
    </x:row>
    <x:row r="260" ht="23" customHeight="1">
      <x:c r="A260" s="4" t="n">
        <x:v>1937</x:v>
      </x:c>
      <x:c r="B260" s="14" t="str">
        <x:v>Germany</x:v>
      </x:c>
      <x:c r="C260" s="6" t="n">
        <x:v>1803.2</x:v>
      </x:c>
      <x:c r="D260" s="6" t="n">
        <x:v>1904</x:v>
      </x:c>
      <x:c r="E260" s="17" t="n">
        <x:f>C260-D260</x:f>
        <x:v>-100.79999999999995</x:v>
      </x:c>
      <x:c r="F260" s="53" t="n">
        <x:f>100*C260/SUMIFS('Annual totals'!$B$2:$B$20,'Annual totals'!$A$2:$A$20,A260)</x:f>
        <x:v>15.048401574674354</x:v>
      </x:c>
      <x:c r="G260" s="53" t="n">
        <x:f>100*D260/SUMIFS('Annual totals'!$C$2:$C$20,'Annual totals'!$A$2:$A$20,A260)</x:f>
        <x:v>17.338209644087716</x:v>
      </x:c>
    </x:row>
    <x:row r="261" ht="23" customHeight="1">
      <x:c r="A261" s="4" t="n">
        <x:v>1937</x:v>
      </x:c>
      <x:c r="B261" s="14" t="str">
        <x:v>Hungary</x:v>
      </x:c>
      <x:c r="C261" s="6" t="n">
        <x:v>227</x:v>
      </x:c>
      <x:c r="D261" s="6" t="n">
        <x:v>160.4</x:v>
      </x:c>
      <x:c r="E261" s="17" t="n">
        <x:f>C261-D261</x:f>
        <x:v>66.6</x:v>
      </x:c>
      <x:c r="F261" s="53" t="n">
        <x:f>100*C261/SUMIFS('Annual totals'!$B$2:$B$20,'Annual totals'!$A$2:$A$20,A261)</x:f>
        <x:v>1.8944028158002877</x:v>
      </x:c>
      <x:c r="G261" s="53" t="n">
        <x:f>100*D261/SUMIFS('Annual totals'!$C$2:$C$20,'Annual totals'!$A$2:$A$20,A261)</x:f>
        <x:v>1.4606348880838602</x:v>
      </x:c>
    </x:row>
    <x:row r="262" ht="23" customHeight="1">
      <x:c r="A262" s="4" t="n">
        <x:v>1937</x:v>
      </x:c>
      <x:c r="B262" s="14" t="str">
        <x:v>Italy</x:v>
      </x:c>
      <x:c r="C262" s="6" t="n">
        <x:v>409.4</x:v>
      </x:c>
      <x:c r="D262" s="6" t="n">
        <x:v>260</x:v>
      </x:c>
      <x:c r="E262" s="17" t="n">
        <x:f>C262-D262</x:f>
        <x:v>149.39999999999998</x:v>
      </x:c>
      <x:c r="F262" s="53" t="n">
        <x:f>100*C262/SUMIFS('Annual totals'!$B$2:$B$20,'Annual totals'!$A$2:$A$20,A262)</x:f>
        <x:v>3.4166013779235143</x:v>
      </x:c>
      <x:c r="G262" s="53" t="n">
        <x:f>100*D262/SUMIFS('Annual totals'!$C$2:$C$20,'Annual totals'!$A$2:$A$20,A262)</x:f>
        <x:v>2.3676126614825663</x:v>
      </x:c>
    </x:row>
    <x:row r="263" ht="23" customHeight="1">
      <x:c r="A263" s="4" t="n">
        <x:v>1937</x:v>
      </x:c>
      <x:c r="B263" s="14" t="str">
        <x:v>Netherlands</x:v>
      </x:c>
      <x:c r="C263" s="6" t="n">
        <x:v>499.6</x:v>
      </x:c>
      <x:c r="D263" s="6" t="n">
        <x:v>416</x:v>
      </x:c>
      <x:c r="E263" s="17" t="n">
        <x:f>C263-D263</x:f>
        <x:v>83.60000000000002</x:v>
      </x:c>
      <x:c r="F263" s="53" t="n">
        <x:f>100*C263/SUMIFS('Annual totals'!$B$2:$B$20,'Annual totals'!$A$2:$A$20,A263)</x:f>
        <x:v>4.169355272131382</x:v>
      </x:c>
      <x:c r="G263" s="53" t="n">
        <x:f>100*D263/SUMIFS('Annual totals'!$C$2:$C$20,'Annual totals'!$A$2:$A$20,A263)</x:f>
        <x:v>3.788180258372106</x:v>
      </x:c>
    </x:row>
    <x:row r="264" ht="23" customHeight="1">
      <x:c r="A264" s="4" t="n">
        <x:v>1937</x:v>
      </x:c>
      <x:c r="B264" s="14" t="str">
        <x:v>Poland</x:v>
      </x:c>
      <x:c r="C264" s="6" t="n">
        <x:v>314.9</x:v>
      </x:c>
      <x:c r="D264" s="6" t="n">
        <x:v>279</x:v>
      </x:c>
      <x:c r="E264" s="17" t="n">
        <x:f>C264-D264</x:f>
        <x:v>35.89999999999998</x:v>
      </x:c>
      <x:c r="F264" s="53" t="n">
        <x:f>100*C264/SUMIFS('Annual totals'!$B$2:$B$20,'Annual totals'!$A$2:$A$20,A264)</x:f>
        <x:v>2.6279623202445395</x:v>
      </x:c>
      <x:c r="G264" s="53" t="n">
        <x:f>100*D264/SUMIFS('Annual totals'!$C$2:$C$20,'Annual totals'!$A$2:$A$20,A264)</x:f>
        <x:v>2.540630509821677</x:v>
      </x:c>
    </x:row>
    <x:row r="265" ht="23" customHeight="1">
      <x:c r="A265" s="4" t="n">
        <x:v>1937</x:v>
      </x:c>
      <x:c r="B265" s="14" t="str">
        <x:v>Romania</x:v>
      </x:c>
      <x:c r="C265" s="6" t="n">
        <x:v>653.7</x:v>
      </x:c>
      <x:c r="D265" s="6" t="n">
        <x:v>531.8</x:v>
      </x:c>
      <x:c r="E265" s="17" t="n">
        <x:f>C265-D265</x:f>
        <x:v>121.90000000000009</x:v>
      </x:c>
      <x:c r="F265" s="53" t="n">
        <x:f>100*C265/SUMIFS('Annual totals'!$B$2:$B$20,'Annual totals'!$A$2:$A$20,A265)</x:f>
        <x:v>5.455379386293604</x:v>
      </x:c>
      <x:c r="G265" s="53" t="n">
        <x:f>100*D265/SUMIFS('Annual totals'!$C$2:$C$20,'Annual totals'!$A$2:$A$20,A265)</x:f>
        <x:v>4.8426785129862635</x:v>
      </x:c>
    </x:row>
    <x:row r="266" ht="23" customHeight="1">
      <x:c r="A266" s="4" t="n">
        <x:v>1937</x:v>
      </x:c>
      <x:c r="B266" s="14" t="str">
        <x:v>Sweden</x:v>
      </x:c>
      <x:c r="C266" s="6" t="n">
        <x:v>401.2</x:v>
      </x:c>
      <x:c r="D266" s="6" t="n">
        <x:v>418</x:v>
      </x:c>
      <x:c r="E266" s="17" t="n">
        <x:f>C266-D266</x:f>
        <x:v>-16.80000000000001</x:v>
      </x:c>
      <x:c r="F266" s="53" t="n">
        <x:f>100*C266/SUMIFS('Annual totals'!$B$2:$B$20,'Annual totals'!$A$2:$A$20,A266)</x:f>
        <x:v>3.348169205722799</x:v>
      </x:c>
      <x:c r="G266" s="53" t="n">
        <x:f>100*D266/SUMIFS('Annual totals'!$C$2:$C$20,'Annual totals'!$A$2:$A$20,A266)</x:f>
        <x:v>3.8063926634604335</x:v>
      </x:c>
    </x:row>
    <x:row r="267" ht="23" customHeight="1">
      <x:c r="A267" s="4" t="n">
        <x:v>1937</x:v>
      </x:c>
      <x:c r="B267" s="14" t="str">
        <x:v>Switzerland</x:v>
      </x:c>
      <x:c r="C267" s="6" t="n">
        <x:v>457</x:v>
      </x:c>
      <x:c r="D267" s="6" t="n">
        <x:v>360</x:v>
      </x:c>
      <x:c r="E267" s="17" t="n">
        <x:f>C267-D267</x:f>
        <x:v>97</x:v>
      </x:c>
      <x:c r="F267" s="53" t="n">
        <x:f>100*C267/SUMIFS('Annual totals'!$B$2:$B$20,'Annual totals'!$A$2:$A$20,A267)</x:f>
        <x:v>3.8138417921618126</x:v>
      </x:c>
      <x:c r="G267" s="53" t="n">
        <x:f>100*D267/SUMIFS('Annual totals'!$C$2:$C$20,'Annual totals'!$A$2:$A$20,A267)</x:f>
        <x:v>3.278232915898938</x:v>
      </x:c>
    </x:row>
    <x:row r="268" ht="23" customHeight="1">
      <x:c r="A268" s="4" t="n">
        <x:v>1937</x:v>
      </x:c>
      <x:c r="B268" s="14" t="str">
        <x:v>USSR</x:v>
      </x:c>
      <x:c r="C268" s="6" t="n">
        <x:v>94</x:v>
      </x:c>
      <x:c r="D268" s="6" t="n">
        <x:v>125</x:v>
      </x:c>
      <x:c r="E268" s="17" t="n">
        <x:f>C268-D268</x:f>
        <x:v>-31</x:v>
      </x:c>
      <x:c r="F268" s="53" t="n">
        <x:f>100*C268/SUMIFS('Annual totals'!$B$2:$B$20,'Annual totals'!$A$2:$A$20,A268)</x:f>
        <x:v>0.7844663642521015</x:v>
      </x:c>
      <x:c r="G268" s="53" t="n">
        <x:f>100*D268/SUMIFS('Annual totals'!$C$2:$C$20,'Annual totals'!$A$2:$A$20,A268)</x:f>
        <x:v>1.1382753180204646</x:v>
      </x:c>
    </x:row>
    <x:row r="269" ht="23" customHeight="1">
      <x:c r="A269" s="4" t="n">
        <x:v>1937</x:v>
      </x:c>
      <x:c r="B269" s="14" t="str">
        <x:v>United Kingdom</x:v>
      </x:c>
      <x:c r="C269" s="6" t="n">
        <x:v>1039.1</x:v>
      </x:c>
      <x:c r="D269" s="6" t="n">
        <x:v>695</x:v>
      </x:c>
      <x:c r="E269" s="17" t="n">
        <x:f>C269-D269</x:f>
        <x:v>344.0999999999999</x:v>
      </x:c>
      <x:c r="F269" s="53" t="n">
        <x:f>100*C269/SUMIFS('Annual totals'!$B$2:$B$20,'Annual totals'!$A$2:$A$20,A269)</x:f>
        <x:v>8.671691479727219</x:v>
      </x:c>
      <x:c r="G269" s="53" t="n">
        <x:f>100*D269/SUMIFS('Annual totals'!$C$2:$C$20,'Annual totals'!$A$2:$A$20,A269)</x:f>
        <x:v>6.328810768193783</x:v>
      </x:c>
    </x:row>
    <x:row r="270" ht="23" customHeight="1">
      <x:c r="A270" s="4" t="n">
        <x:v>1937</x:v>
      </x:c>
      <x:c r="B270" s="14" t="str">
        <x:v>United States</x:v>
      </x:c>
      <x:c r="C270" s="6" t="n">
        <x:v>1111.7</x:v>
      </x:c>
      <x:c r="D270" s="6" t="n">
        <x:v>961</x:v>
      </x:c>
      <x:c r="E270" s="17" t="n">
        <x:f>C270-D270</x:f>
        <x:v>150.70000000000005</x:v>
      </x:c>
      <x:c r="F270" s="53" t="n">
        <x:f>100*C270/SUMIFS('Annual totals'!$B$2:$B$20,'Annual totals'!$A$2:$A$20,A270)</x:f>
        <x:v>9.277566565309161</x:v>
      </x:c>
      <x:c r="G270" s="53" t="n">
        <x:f>100*D270/SUMIFS('Annual totals'!$C$2:$C$20,'Annual totals'!$A$2:$A$20,A270)</x:f>
        <x:v>8.751060644941331</x:v>
      </x:c>
    </x:row>
    <x:row r="271" ht="23" customHeight="1">
      <x:c r="A271" s="4" t="n">
        <x:v>1937</x:v>
      </x:c>
      <x:c r="B271" s="14" t="str">
        <x:v>Yugoslavia</x:v>
      </x:c>
      <x:c r="C271" s="6" t="n">
        <x:v>595.7</x:v>
      </x:c>
      <x:c r="D271" s="6" t="n">
        <x:v>411</x:v>
      </x:c>
      <x:c r="E271" s="17" t="n">
        <x:f>C271-D271</x:f>
        <x:v>184.70000000000005</x:v>
      </x:c>
      <x:c r="F271" s="53" t="n">
        <x:f>100*C271/SUMIFS('Annual totals'!$B$2:$B$20,'Annual totals'!$A$2:$A$20,A271)</x:f>
        <x:v>4.97134694877635</x:v>
      </x:c>
      <x:c r="G271" s="53" t="n">
        <x:f>100*D271/SUMIFS('Annual totals'!$C$2:$C$20,'Annual totals'!$A$2:$A$20,A271)</x:f>
        <x:v>3.7426492456512874</x:v>
      </x:c>
    </x:row>
    <x:row r="272" ht="23" customHeight="1">
      <x:c r="A272" s="4" t="n">
        <x:v>1938</x:v>
      </x:c>
      <x:c r="B272" s="14" t="str">
        <x:v>Austria</x:v>
      </x:c>
      <x:c r="C272" s="6" t="n">
        <x:v>534</x:v>
      </x:c>
      <x:c r="D272" s="6" t="n">
        <x:v>236</x:v>
      </x:c>
      <x:c r="E272" s="17" t="n">
        <x:f>C272-D272</x:f>
        <x:v>298</x:v>
      </x:c>
      <x:c r="F272" s="53" t="n">
        <x:f>100*C272/SUMIFS('Annual totals'!$B$2:$B$20,'Annual totals'!$A$2:$A$20,A272)</x:f>
        <x:v>5.217639059363249</x:v>
      </x:c>
      <x:c r="G272" s="53" t="n">
        <x:f>100*D272/SUMIFS('Annual totals'!$C$2:$C$20,'Annual totals'!$A$2:$A$20,A272)</x:f>
        <x:v>2.812754794167729</x:v>
      </x:c>
    </x:row>
    <x:row r="273" ht="23" customHeight="1">
      <x:c r="A273" s="4" t="n">
        <x:v>1938</x:v>
      </x:c>
      <x:c r="B273" s="14" t="str">
        <x:v>Belgium and Luxembourg</x:v>
      </x:c>
      <x:c r="C273" s="6" t="n">
        <x:v>220</x:v>
      </x:c>
      <x:c r="D273" s="6" t="n">
        <x:v>186</x:v>
      </x:c>
      <x:c r="E273" s="17" t="n">
        <x:f>C273-D273</x:f>
        <x:v>34</x:v>
      </x:c>
      <x:c r="F273" s="53" t="n">
        <x:f>100*C273/SUMIFS('Annual totals'!$B$2:$B$20,'Annual totals'!$A$2:$A$20,A273)</x:f>
        <x:v>2.149589125580365</x:v>
      </x:c>
      <x:c r="G273" s="53" t="n">
        <x:f>100*D273/SUMIFS('Annual totals'!$C$2:$C$20,'Annual totals'!$A$2:$A$20,A273)</x:f>
        <x:v>2.2168321682847356</x:v>
      </x:c>
    </x:row>
    <x:row r="274" ht="23" customHeight="1">
      <x:c r="A274" s="4" t="n">
        <x:v>1938</x:v>
      </x:c>
      <x:c r="B274" s="14" t="str">
        <x:v>France</x:v>
      </x:c>
      <x:c r="C274" s="6" t="n">
        <x:v>256</x:v>
      </x:c>
      <x:c r="D274" s="6" t="n">
        <x:v>384</x:v>
      </x:c>
      <x:c r="E274" s="17" t="n">
        <x:f>C274-D274</x:f>
        <x:v>-128</x:v>
      </x:c>
      <x:c r="F274" s="53" t="n">
        <x:f>100*C274/SUMIFS('Annual totals'!$B$2:$B$20,'Annual totals'!$A$2:$A$20,A274)</x:f>
        <x:v>2.501340073402606</x:v>
      </x:c>
      <x:c r="G274" s="53" t="n">
        <x:f>100*D274/SUMIFS('Annual totals'!$C$2:$C$20,'Annual totals'!$A$2:$A$20,A274)</x:f>
        <x:v>4.57668576678139</x:v>
      </x:c>
    </x:row>
    <x:row r="275" ht="23" customHeight="1">
      <x:c r="A275" s="4" t="n">
        <x:v>1938</x:v>
      </x:c>
      <x:c r="B275" s="14" t="str">
        <x:v>Germany</x:v>
      </x:c>
      <x:c r="C275" s="6" t="n">
        <x:v>1617</x:v>
      </x:c>
      <x:c r="D275" s="6" t="n">
        <x:v>1538</x:v>
      </x:c>
      <x:c r="E275" s="17" t="n">
        <x:f>C275-D275</x:f>
        <x:v>79</x:v>
      </x:c>
      <x:c r="F275" s="53" t="n">
        <x:f>100*C275/SUMIFS('Annual totals'!$B$2:$B$20,'Annual totals'!$A$2:$A$20,A275)</x:f>
        <x:v>15.799480073015681</x:v>
      </x:c>
      <x:c r="G275" s="53" t="n">
        <x:f>100*D275/SUMIFS('Annual totals'!$C$2:$C$20,'Annual totals'!$A$2:$A$20,A275)</x:f>
        <x:v>18.330579972160876</x:v>
      </x:c>
    </x:row>
    <x:row r="276" ht="23" customHeight="1">
      <x:c r="A276" s="4" t="n">
        <x:v>1938</x:v>
      </x:c>
      <x:c r="B276" s="14" t="str">
        <x:v>Hungary</x:v>
      </x:c>
      <x:c r="C276" s="6" t="n">
        <x:v>230</x:v>
      </x:c>
      <x:c r="D276" s="6" t="n">
        <x:v>180</x:v>
      </x:c>
      <x:c r="E276" s="17" t="n">
        <x:f>C276-D276</x:f>
        <x:v>50</x:v>
      </x:c>
      <x:c r="F276" s="53" t="n">
        <x:f>100*C276/SUMIFS('Annual totals'!$B$2:$B$20,'Annual totals'!$A$2:$A$20,A276)</x:f>
        <x:v>2.2472977221976542</x:v>
      </x:c>
      <x:c r="G276" s="53" t="n">
        <x:f>100*D276/SUMIFS('Annual totals'!$C$2:$C$20,'Annual totals'!$A$2:$A$20,A276)</x:f>
        <x:v>2.1453214531787763</x:v>
      </x:c>
    </x:row>
    <x:row r="277" ht="23" customHeight="1">
      <x:c r="A277" s="4" t="n">
        <x:v>1938</x:v>
      </x:c>
      <x:c r="B277" s="14" t="str">
        <x:v>Italy</x:v>
      </x:c>
      <x:c r="C277" s="6" t="n">
        <x:v>299</x:v>
      </x:c>
      <x:c r="D277" s="6" t="n">
        <x:v>232</x:v>
      </x:c>
      <x:c r="E277" s="17" t="n">
        <x:f>C277-D277</x:f>
        <x:v>67</x:v>
      </x:c>
      <x:c r="F277" s="53" t="n">
        <x:f>100*C277/SUMIFS('Annual totals'!$B$2:$B$20,'Annual totals'!$A$2:$A$20,A277)</x:f>
        <x:v>2.9214870388569505</x:v>
      </x:c>
      <x:c r="G277" s="53" t="n">
        <x:f>100*D277/SUMIFS('Annual totals'!$C$2:$C$20,'Annual totals'!$A$2:$A$20,A277)</x:f>
        <x:v>2.7650809840970894</x:v>
      </x:c>
    </x:row>
    <x:row r="278" ht="23" customHeight="1">
      <x:c r="A278" s="4" t="n">
        <x:v>1938</x:v>
      </x:c>
      <x:c r="B278" s="14" t="str">
        <x:v>Netherlands</x:v>
      </x:c>
      <x:c r="C278" s="6" t="n">
        <x:v>432</x:v>
      </x:c>
      <x:c r="D278" s="6" t="n">
        <x:v>269</x:v>
      </x:c>
      <x:c r="E278" s="17" t="n">
        <x:f>C278-D278</x:f>
        <x:v>163</x:v>
      </x:c>
      <x:c r="F278" s="53" t="n">
        <x:f>100*C278/SUMIFS('Annual totals'!$B$2:$B$20,'Annual totals'!$A$2:$A$20,A278)</x:f>
        <x:v>4.221011373866898</x:v>
      </x:c>
      <x:c r="G278" s="53" t="n">
        <x:f>100*D278/SUMIFS('Annual totals'!$C$2:$C$20,'Annual totals'!$A$2:$A$20,A278)</x:f>
        <x:v>3.2060637272505046</x:v>
      </x:c>
    </x:row>
    <x:row r="279" ht="23" customHeight="1">
      <x:c r="A279" s="4" t="n">
        <x:v>1938</x:v>
      </x:c>
      <x:c r="B279" s="14" t="str">
        <x:v>Poland</x:v>
      </x:c>
      <x:c r="C279" s="6" t="n">
        <x:v>216</x:v>
      </x:c>
      <x:c r="D279" s="6" t="n">
        <x:v>240</x:v>
      </x:c>
      <x:c r="E279" s="17" t="n">
        <x:f>C279-D279</x:f>
        <x:v>-24</x:v>
      </x:c>
      <x:c r="F279" s="53" t="n">
        <x:f>100*C279/SUMIFS('Annual totals'!$B$2:$B$20,'Annual totals'!$A$2:$A$20,A279)</x:f>
        <x:v>2.110505686933449</x:v>
      </x:c>
      <x:c r="G279" s="53" t="n">
        <x:f>100*D279/SUMIFS('Annual totals'!$C$2:$C$20,'Annual totals'!$A$2:$A$20,A279)</x:f>
        <x:v>2.8604286042383684</x:v>
      </x:c>
    </x:row>
    <x:row r="280" ht="23" customHeight="1">
      <x:c r="A280" s="4" t="n">
        <x:v>1938</x:v>
      </x:c>
      <x:c r="B280" s="14" t="str">
        <x:v>Romania</x:v>
      </x:c>
      <x:c r="C280" s="6" t="n">
        <x:v>544</x:v>
      </x:c>
      <x:c r="D280" s="6" t="n">
        <x:v>500</x:v>
      </x:c>
      <x:c r="E280" s="17" t="n">
        <x:f>C280-D280</x:f>
        <x:v>44</x:v>
      </x:c>
      <x:c r="F280" s="53" t="n">
        <x:f>100*C280/SUMIFS('Annual totals'!$B$2:$B$20,'Annual totals'!$A$2:$A$20,A280)</x:f>
        <x:v>5.315347655980538</x:v>
      </x:c>
      <x:c r="G280" s="53" t="n">
        <x:f>100*D280/SUMIFS('Annual totals'!$C$2:$C$20,'Annual totals'!$A$2:$A$20,A280)</x:f>
        <x:v>5.9592262588299345</x:v>
      </x:c>
    </x:row>
    <x:row r="281" ht="23" customHeight="1">
      <x:c r="A281" s="4" t="n">
        <x:v>1938</x:v>
      </x:c>
      <x:c r="B281" s="14" t="str">
        <x:v>Sweden</x:v>
      </x:c>
      <x:c r="C281" s="6" t="n">
        <x:v>306</x:v>
      </x:c>
      <x:c r="D281" s="6" t="n">
        <x:v>348</x:v>
      </x:c>
      <x:c r="E281" s="17" t="n">
        <x:f>C281-D281</x:f>
        <x:v>-42</x:v>
      </x:c>
      <x:c r="F281" s="53" t="n">
        <x:f>100*C281/SUMIFS('Annual totals'!$B$2:$B$20,'Annual totals'!$A$2:$A$20,A281)</x:f>
        <x:v>2.989883056489053</x:v>
      </x:c>
      <x:c r="G281" s="53" t="n">
        <x:f>100*D281/SUMIFS('Annual totals'!$C$2:$C$20,'Annual totals'!$A$2:$A$20,A281)</x:f>
        <x:v>4.147621476145634</x:v>
      </x:c>
    </x:row>
    <x:row r="282" ht="23" customHeight="1">
      <x:c r="A282" s="4" t="n">
        <x:v>1938</x:v>
      </x:c>
      <x:c r="B282" s="14" t="str">
        <x:v>Switzerland</x:v>
      </x:c>
      <x:c r="C282" s="6" t="n">
        <x:v>338</x:v>
      </x:c>
      <x:c r="D282" s="6" t="n">
        <x:v>271</x:v>
      </x:c>
      <x:c r="E282" s="17" t="n">
        <x:f>C282-D282</x:f>
        <x:v>67</x:v>
      </x:c>
      <x:c r="F282" s="53" t="n">
        <x:f>100*C282/SUMIFS('Annual totals'!$B$2:$B$20,'Annual totals'!$A$2:$A$20,A282)</x:f>
        <x:v>3.3025505656643785</x:v>
      </x:c>
      <x:c r="G282" s="53" t="n">
        <x:f>100*D282/SUMIFS('Annual totals'!$C$2:$C$20,'Annual totals'!$A$2:$A$20,A282)</x:f>
        <x:v>3.2299006322858244</x:v>
      </x:c>
    </x:row>
    <x:row r="283" ht="23" customHeight="1">
      <x:c r="A283" s="4" t="n">
        <x:v>1938</x:v>
      </x:c>
      <x:c r="B283" s="14" t="str">
        <x:v>USSR</x:v>
      </x:c>
      <x:c r="C283" s="6" t="n">
        <x:v>238</x:v>
      </x:c>
      <x:c r="D283" s="6" t="n">
        <x:v>101</x:v>
      </x:c>
      <x:c r="E283" s="17" t="n">
        <x:f>C283-D283</x:f>
        <x:v>137</x:v>
      </x:c>
      <x:c r="F283" s="53" t="n">
        <x:f>100*C283/SUMIFS('Annual totals'!$B$2:$B$20,'Annual totals'!$A$2:$A$20,A283)</x:f>
        <x:v>2.3254645994914855</x:v>
      </x:c>
      <x:c r="G283" s="53" t="n">
        <x:f>100*D283/SUMIFS('Annual totals'!$C$2:$C$20,'Annual totals'!$A$2:$A$20,A283)</x:f>
        <x:v>1.2037637042836467</x:v>
      </x:c>
    </x:row>
    <x:row r="284" ht="23" customHeight="1">
      <x:c r="A284" s="4" t="n">
        <x:v>1938</x:v>
      </x:c>
      <x:c r="B284" s="14" t="str">
        <x:v>United Kingdom</x:v>
      </x:c>
      <x:c r="C284" s="6" t="n">
        <x:v>941</x:v>
      </x:c>
      <x:c r="D284" s="6" t="n">
        <x:v>449</x:v>
      </x:c>
      <x:c r="E284" s="17" t="n">
        <x:f>C284-D284</x:f>
        <x:v>492</x:v>
      </x:c>
      <x:c r="F284" s="53" t="n">
        <x:f>100*C284/SUMIFS('Annual totals'!$B$2:$B$20,'Annual totals'!$A$2:$A$20,A284)</x:f>
        <x:v>9.194378941686924</x:v>
      </x:c>
      <x:c r="G284" s="53" t="n">
        <x:f>100*D284/SUMIFS('Annual totals'!$C$2:$C$20,'Annual totals'!$A$2:$A$20,A284)</x:f>
        <x:v>5.351385180429281</x:v>
      </x:c>
    </x:row>
    <x:row r="285" ht="23" customHeight="1">
      <x:c r="A285" s="4" t="n">
        <x:v>1938</x:v>
      </x:c>
      <x:c r="B285" s="14" t="str">
        <x:v>United States</x:v>
      </x:c>
      <x:c r="C285" s="6" t="n">
        <x:v>661</x:v>
      </x:c>
      <x:c r="D285" s="6" t="n">
        <x:v>852</x:v>
      </x:c>
      <x:c r="E285" s="17" t="n">
        <x:f>C285-D285</x:f>
        <x:v>-191</x:v>
      </x:c>
      <x:c r="F285" s="53" t="n">
        <x:f>100*C285/SUMIFS('Annual totals'!$B$2:$B$20,'Annual totals'!$A$2:$A$20,A285)</x:f>
        <x:v>6.458538236402823</x:v>
      </x:c>
      <x:c r="G285" s="53" t="n">
        <x:f>100*D285/SUMIFS('Annual totals'!$C$2:$C$20,'Annual totals'!$A$2:$A$20,A285)</x:f>
        <x:v>10.154521545046208</x:v>
      </x:c>
    </x:row>
    <x:row r="286" ht="23" customHeight="1">
      <x:c r="A286" s="4" t="n">
        <x:v>1938</x:v>
      </x:c>
      <x:c r="B286" s="14" t="str">
        <x:v>Yugoslavia</x:v>
      </x:c>
      <x:c r="C286" s="6" t="n">
        <x:v>629</x:v>
      </x:c>
      <x:c r="D286" s="6" t="n">
        <x:v>310</x:v>
      </x:c>
      <x:c r="E286" s="17" t="n">
        <x:f>C286-D286</x:f>
        <x:v>319</x:v>
      </x:c>
      <x:c r="F286" s="53" t="n">
        <x:f>100*C286/SUMIFS('Annual totals'!$B$2:$B$20,'Annual totals'!$A$2:$A$20,A286)</x:f>
        <x:v>6.145870727227497</x:v>
      </x:c>
      <x:c r="G286" s="53" t="n">
        <x:f>100*D286/SUMIFS('Annual totals'!$C$2:$C$20,'Annual totals'!$A$2:$A$20,A286)</x:f>
        <x:v>3.6947202804745594</x:v>
      </x:c>
    </x:row>
  </x:sheetData>
  <x:conditionalFormatting sqref="E2:E286">
    <x:cfRule type="cellIs" dxfId="2" priority="1" operator="greaterThan">
      <x:formula>0</x:formula>
    </x:cfRule>
    <x:cfRule type="cellIs" dxfId="3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ab70fafce3240f2"/>
  </x:tableParts>
</x:worksheet>
</file>

<file path=xl/worksheets/sheet3.xml><?xml version="1.0" encoding="utf-8"?>
<x:worksheet xmlns:x="http://schemas.openxmlformats.org/spreadsheetml/2006/main">
  <x:sheetPr>
    <x:tabColor rgb="FF233C5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25" hidden="0" customWidth="1"/>
    <x:col min="4" max="4" width="34" hidden="0" customWidth="1"/>
    <x:col min="5" max="5" width="31" hidden="0" customWidth="1"/>
    <x:col min="6" max="6" width="33" hidden="0" customWidth="1"/>
    <x:col min="7" max="7" width="24" hidden="0" customWidth="1"/>
    <x:col min="8" max="8" width="24" hidden="0" customWidth="1"/>
    <x:col min="9" max="9" width="32" hidden="0" customWidth="1"/>
    <x:col min="10" max="10" width="32" hidden="0" customWidth="1"/>
  </x:cols>
  <x:sheetData>
    <x:row r="1" ht="36" customHeight="1">
      <x:c r="A1" s="57" t="str">
        <x:v>date</x:v>
      </x:c>
      <x:c r="B1" s="58" t="str">
        <x:v>exports_million_kc</x:v>
      </x:c>
      <x:c r="C1" s="58" t="str">
        <x:v>imports_million_kc</x:v>
      </x:c>
      <x:c r="D1" s="58" t="str">
        <x:v>trade_balance_million_kc</x:v>
      </x:c>
      <x:c r="E1" s="63" t="str">
        <x:v>total_trade_million_kc</x:v>
      </x:c>
      <x:c r="F1" s="63" t="str">
        <x:v>export_import_ratio_pct</x:v>
      </x:c>
      <x:c r="G1" s="63" t="str">
        <x:v>exports_yoy_pct</x:v>
      </x:c>
      <x:c r="H1" s="63" t="str">
        <x:v>imports_yoy_pct</x:v>
      </x:c>
      <x:c r="I1" s="63" t="str">
        <x:v>exports_index_1929_100</x:v>
      </x:c>
      <x:c r="J1" s="64" t="str">
        <x:v>imports_index_1929_100</x:v>
      </x:c>
    </x:row>
    <x:row r="2" ht="23" customHeight="1">
      <x:c r="A2" s="16" t="d">
        <x:v>1924-01-01T00:00:00.000Z</x:v>
      </x:c>
      <x:c r="B2" s="6" t="n">
        <x:v>801.3676666666667</x:v>
      </x:c>
      <x:c r="C2" s="6" t="n">
        <x:v>809.788</x:v>
      </x:c>
      <x:c r="D2" s="17" t="n">
        <x:f>B2-C2</x:f>
        <x:v>-8.42033333333336</x:v>
      </x:c>
      <x:c r="E2" s="52" t="n">
        <x:f>B2+C2</x:f>
        <x:v>1611.1556666666665</x:v>
      </x:c>
      <x:c r="F2" s="53" t="n">
        <x:f>100*B2/C2</x:f>
        <x:v>98.96018052461467</x:v>
      </x:c>
      <x:c r="G2" s="53"/>
      <x:c r="H2" s="53"/>
      <x:c r="I2" s="54" t="n">
        <x:f>100*B2/'Charts'!$AJ$7</x:f>
        <x:v>47.13372936517272</x:v>
      </x:c>
      <x:c r="J2" s="54" t="n">
        <x:f>100*C2/'Charts'!$AK$7</x:f>
        <x:v>48.89089244206523</x:v>
      </x:c>
    </x:row>
    <x:row r="3" ht="23" customHeight="1">
      <x:c r="A3" s="16" t="d">
        <x:v>1924-02-01T00:00:00.000Z</x:v>
      </x:c>
      <x:c r="B3" s="6" t="n">
        <x:v>1255.2666666666667</x:v>
      </x:c>
      <x:c r="C3" s="6" t="n">
        <x:v>1245.519</x:v>
      </x:c>
      <x:c r="D3" s="17" t="n">
        <x:f>B3-C3</x:f>
        <x:v>9.747666666666646</x:v>
      </x:c>
      <x:c r="E3" s="52" t="n">
        <x:f>B3+C3</x:f>
        <x:v>2500.7856666666667</x:v>
      </x:c>
      <x:c r="F3" s="53" t="n">
        <x:f>100*B3/C3</x:f>
        <x:v>100.78261886544217</x:v>
      </x:c>
      <x:c r="G3" s="53"/>
      <x:c r="H3" s="53"/>
      <x:c r="I3" s="54" t="n">
        <x:f>100*B3/'Charts'!$AJ$7</x:f>
        <x:v>73.83052974159902</x:v>
      </x:c>
      <x:c r="J3" s="54" t="n">
        <x:f>100*C3/'Charts'!$AK$7</x:f>
        <x:v>75.1981203272321</x:v>
      </x:c>
    </x:row>
    <x:row r="4" ht="23" customHeight="1">
      <x:c r="A4" s="16" t="d">
        <x:v>1924-03-01T00:00:00.000Z</x:v>
      </x:c>
      <x:c r="B4" s="6" t="n">
        <x:v>1343.0516666666667</x:v>
      </x:c>
      <x:c r="C4" s="6" t="n">
        <x:v>1124.189</x:v>
      </x:c>
      <x:c r="D4" s="17" t="n">
        <x:f>B4-C4</x:f>
        <x:v>218.86266666666666</x:v>
      </x:c>
      <x:c r="E4" s="52" t="n">
        <x:f>B4+C4</x:f>
        <x:v>2467.2406666666666</x:v>
      </x:c>
      <x:c r="F4" s="53" t="n">
        <x:f>100*B4/C4</x:f>
        <x:v>119.46849388018089</x:v>
      </x:c>
      <x:c r="G4" s="53"/>
      <x:c r="H4" s="53"/>
      <x:c r="I4" s="54" t="n">
        <x:f>100*B4/'Charts'!$AJ$7</x:f>
        <x:v>78.99374583382348</x:v>
      </x:c>
      <x:c r="J4" s="54" t="n">
        <x:f>100*C4/'Charts'!$AK$7</x:f>
        <x:v>67.87283027601406</x:v>
      </x:c>
    </x:row>
    <x:row r="5" ht="23" customHeight="1">
      <x:c r="A5" s="16" t="d">
        <x:v>1924-04-01T00:00:00.000Z</x:v>
      </x:c>
      <x:c r="B5" s="6" t="n">
        <x:v>1509.1636666666668</x:v>
      </x:c>
      <x:c r="C5" s="6" t="n">
        <x:v>1274.156</x:v>
      </x:c>
      <x:c r="D5" s="17" t="n">
        <x:f>B5-C5</x:f>
        <x:v>235.00766666666686</x:v>
      </x:c>
      <x:c r="E5" s="52" t="n">
        <x:f>B5+C5</x:f>
        <x:v>2783.3196666666668</x:v>
      </x:c>
      <x:c r="F5" s="53" t="n">
        <x:f>100*B5/C5</x:f>
        <x:v>118.44418318217446</x:v>
      </x:c>
      <x:c r="G5" s="53"/>
      <x:c r="H5" s="53"/>
      <x:c r="I5" s="54" t="n">
        <x:f>100*B5/'Charts'!$AJ$7</x:f>
        <x:v>88.76389052268361</x:v>
      </x:c>
      <x:c r="J5" s="54" t="n">
        <x:f>100*C5/'Charts'!$AK$7</x:f>
        <x:v>76.92707714909588</x:v>
      </x:c>
    </x:row>
    <x:row r="6" ht="23" customHeight="1">
      <x:c r="A6" s="16" t="d">
        <x:v>1924-05-01T00:00:00.000Z</x:v>
      </x:c>
      <x:c r="B6" s="6" t="n">
        <x:v>1601.2576666666666</x:v>
      </x:c>
      <x:c r="C6" s="6" t="n">
        <x:v>1575.688</x:v>
      </x:c>
      <x:c r="D6" s="17" t="n">
        <x:f>B6-C6</x:f>
        <x:v>25.569666666666535</x:v>
      </x:c>
      <x:c r="E6" s="52" t="n">
        <x:f>B6+C6</x:f>
        <x:v>3176.9456666666665</x:v>
      </x:c>
      <x:c r="F6" s="53" t="n">
        <x:f>100*B6/C6</x:f>
        <x:v>101.62276203580065</x:v>
      </x:c>
      <x:c r="G6" s="53"/>
      <x:c r="H6" s="53"/>
      <x:c r="I6" s="54" t="n">
        <x:f>100*B6/'Charts'!$AJ$7</x:f>
        <x:v>94.18054738658196</x:v>
      </x:c>
      <x:c r="J6" s="54" t="n">
        <x:f>100*C6/'Charts'!$AK$7</x:f>
        <x:v>95.1320500306906</x:v>
      </x:c>
    </x:row>
    <x:row r="7" ht="23" customHeight="1">
      <x:c r="A7" s="16" t="d">
        <x:v>1924-06-01T00:00:00.000Z</x:v>
      </x:c>
      <x:c r="B7" s="6" t="n">
        <x:v>1328.1166666666668</x:v>
      </x:c>
      <x:c r="C7" s="6" t="n">
        <x:v>1230.125</x:v>
      </x:c>
      <x:c r="D7" s="17" t="n">
        <x:f>B7-C7</x:f>
        <x:v>97.99166666666679</x:v>
      </x:c>
      <x:c r="E7" s="52" t="n">
        <x:f>B7+C7</x:f>
        <x:v>2558.241666666667</x:v>
      </x:c>
      <x:c r="F7" s="53" t="n">
        <x:f>100*B7/C7</x:f>
        <x:v>107.96599261592658</x:v>
      </x:c>
      <x:c r="G7" s="53"/>
      <x:c r="H7" s="53"/>
      <x:c r="I7" s="54" t="n">
        <x:f>100*B7/'Charts'!$AJ$7</x:f>
        <x:v>78.11531976630201</x:v>
      </x:c>
      <x:c r="J7" s="54" t="n">
        <x:f>100*C7/'Charts'!$AK$7</x:f>
        <x:v>74.26870868090845</x:v>
      </x:c>
    </x:row>
    <x:row r="8" ht="23" customHeight="1">
      <x:c r="A8" s="16" t="d">
        <x:v>1924-07-01T00:00:00.000Z</x:v>
      </x:c>
      <x:c r="B8" s="6" t="n">
        <x:v>1312.9826666666668</x:v>
      </x:c>
      <x:c r="C8" s="6" t="n">
        <x:v>1229.527</x:v>
      </x:c>
      <x:c r="D8" s="17" t="n">
        <x:f>B8-C8</x:f>
        <x:v>83.45566666666673</x:v>
      </x:c>
      <x:c r="E8" s="52" t="n">
        <x:f>B8+C8</x:f>
        <x:v>2542.509666666667</x:v>
      </x:c>
      <x:c r="F8" s="53" t="n">
        <x:f>100*B8/C8</x:f>
        <x:v>106.787623750163</x:v>
      </x:c>
      <x:c r="G8" s="53"/>
      <x:c r="H8" s="53"/>
      <x:c r="I8" s="54" t="n">
        <x:f>100*B8/'Charts'!$AJ$7</x:f>
        <x:v>77.22518919342822</x:v>
      </x:c>
      <x:c r="J8" s="54" t="n">
        <x:f>100*C8/'Charts'!$AK$7</x:f>
        <x:v>74.2326044737822</x:v>
      </x:c>
    </x:row>
    <x:row r="9" ht="23" customHeight="1">
      <x:c r="A9" s="16" t="d">
        <x:v>1924-08-01T00:00:00.000Z</x:v>
      </x:c>
      <x:c r="B9" s="6" t="n">
        <x:v>1112.1016666666667</x:v>
      </x:c>
      <x:c r="C9" s="6" t="n">
        <x:v>1220.941</x:v>
      </x:c>
      <x:c r="D9" s="17" t="n">
        <x:f>B9-C9</x:f>
        <x:v>-108.83933333333334</x:v>
      </x:c>
      <x:c r="E9" s="52" t="n">
        <x:f>B9+C9</x:f>
        <x:v>2333.0426666666667</x:v>
      </x:c>
      <x:c r="F9" s="53" t="n">
        <x:f>100*B9/C9</x:f>
        <x:v>91.08561893381143</x:v>
      </x:c>
      <x:c r="G9" s="53"/>
      <x:c r="H9" s="53"/>
      <x:c r="I9" s="54" t="n">
        <x:f>100*B9/'Charts'!$AJ$7</x:f>
        <x:v>65.41004979806297</x:v>
      </x:c>
      <x:c r="J9" s="54" t="n">
        <x:f>100*C9/'Charts'!$AK$7</x:f>
        <x:v>73.71422533935741</x:v>
      </x:c>
    </x:row>
    <x:row r="10" ht="23" customHeight="1">
      <x:c r="A10" s="16" t="d">
        <x:v>1924-09-01T00:00:00.000Z</x:v>
      </x:c>
      <x:c r="B10" s="6" t="n">
        <x:v>1429.5566666666668</x:v>
      </x:c>
      <x:c r="C10" s="6" t="n">
        <x:v>1456.382</x:v>
      </x:c>
      <x:c r="D10" s="17" t="n">
        <x:f>B10-C10</x:f>
        <x:v>-26.82533333333322</x:v>
      </x:c>
      <x:c r="E10" s="52" t="n">
        <x:f>B10+C10</x:f>
        <x:v>2885.938666666667</x:v>
      </x:c>
      <x:c r="F10" s="53" t="n">
        <x:f>100*B10/C10</x:f>
        <x:v>98.15808398254488</x:v>
      </x:c>
      <x:c r="G10" s="53"/>
      <x:c r="H10" s="53"/>
      <x:c r="I10" s="54" t="n">
        <x:f>100*B10/'Charts'!$AJ$7</x:f>
        <x:v>84.08167666549035</x:v>
      </x:c>
      <x:c r="J10" s="54" t="n">
        <x:f>100*C10/'Charts'!$AK$7</x:f>
        <x:v>87.9289588343614</x:v>
      </x:c>
    </x:row>
    <x:row r="11" ht="23" customHeight="1">
      <x:c r="A11" s="16" t="d">
        <x:v>1924-10-01T00:00:00.000Z</x:v>
      </x:c>
      <x:c r="B11" s="6" t="n">
        <x:v>1462.7066666666667</x:v>
      </x:c>
      <x:c r="C11" s="6" t="n">
        <x:v>1354.7</x:v>
      </x:c>
      <x:c r="D11" s="17" t="n">
        <x:f>B11-C11</x:f>
        <x:v>108.00666666666666</x:v>
      </x:c>
      <x:c r="E11" s="52" t="n">
        <x:f>B11+C11</x:f>
        <x:v>2817.4066666666668</x:v>
      </x:c>
      <x:c r="F11" s="53" t="n">
        <x:f>100*B11/C11</x:f>
        <x:v>107.97273689131664</x:v>
      </x:c>
      <x:c r="G11" s="53"/>
      <x:c r="H11" s="53"/>
      <x:c r="I11" s="54" t="n">
        <x:f>100*B11/'Charts'!$AJ$7</x:f>
        <x:v>86.03144728071206</x:v>
      </x:c>
      <x:c r="J11" s="54" t="n">
        <x:f>100*C11/'Charts'!$AK$7</x:f>
        <x:v>81.7899153744755</x:v>
      </x:c>
    </x:row>
    <x:row r="12" ht="23" customHeight="1">
      <x:c r="A12" s="16" t="d">
        <x:v>1924-11-01T00:00:00.000Z</x:v>
      </x:c>
      <x:c r="B12" s="6" t="n">
        <x:v>1766.5206666666668</x:v>
      </x:c>
      <x:c r="C12" s="6" t="n">
        <x:v>1515.785</x:v>
      </x:c>
      <x:c r="D12" s="17" t="n">
        <x:f>B12-C12</x:f>
        <x:v>250.7356666666667</x:v>
      </x:c>
      <x:c r="E12" s="52" t="n">
        <x:f>B12+C12</x:f>
        <x:v>3282.305666666667</x:v>
      </x:c>
      <x:c r="F12" s="53" t="n">
        <x:f>100*B12/C12</x:f>
        <x:v>116.5416379411768</x:v>
      </x:c>
      <x:c r="G12" s="53"/>
      <x:c r="H12" s="53"/>
      <x:c r="I12" s="54" t="n">
        <x:f>100*B12/'Charts'!$AJ$7</x:f>
        <x:v>103.9007567737129</x:v>
      </x:c>
      <x:c r="J12" s="54" t="n">
        <x:f>100*C12/'Charts'!$AK$7</x:f>
        <x:v>91.51541070044979</x:v>
      </x:c>
    </x:row>
    <x:row r="13" ht="23" customHeight="1">
      <x:c r="A13" s="16" t="d">
        <x:v>1924-12-01T00:00:00.000Z</x:v>
      </x:c>
      <x:c r="B13" s="6" t="n">
        <x:v>2113.2826666666665</x:v>
      </x:c>
      <x:c r="C13" s="6" t="n">
        <x:v>1817.903</x:v>
      </x:c>
      <x:c r="D13" s="17" t="n">
        <x:f>B13-C13</x:f>
        <x:v>295.3796666666665</x:v>
      </x:c>
      <x:c r="E13" s="52" t="n">
        <x:f>B13+C13</x:f>
        <x:v>3931.1856666666663</x:v>
      </x:c>
      <x:c r="F13" s="53" t="n">
        <x:f>100*B13/C13</x:f>
        <x:v>116.24837335472061</x:v>
      </x:c>
      <x:c r="G13" s="53"/>
      <x:c r="H13" s="53"/>
      <x:c r="I13" s="54" t="n">
        <x:f>100*B13/'Charts'!$AJ$7</x:f>
        <x:v>124.29612202485981</x:v>
      </x:c>
      <x:c r="J13" s="54" t="n">
        <x:f>100*C13/'Charts'!$AK$7</x:f>
        <x:v>109.75576329003108</x:v>
      </x:c>
    </x:row>
    <x:row r="14" ht="23" customHeight="1">
      <x:c r="A14" s="16" t="d">
        <x:v>1925-01-01T00:00:00.000Z</x:v>
      </x:c>
      <x:c r="B14" s="6" t="n">
        <x:v>1473.9</x:v>
      </x:c>
      <x:c r="C14" s="6" t="n">
        <x:v>1406.8</x:v>
      </x:c>
      <x:c r="D14" s="17" t="n">
        <x:f>B14-C14</x:f>
        <x:v>67.10000000000014</x:v>
      </x:c>
      <x:c r="E14" s="52" t="n">
        <x:f>B14+C14</x:f>
        <x:v>2880.7</x:v>
      </x:c>
      <x:c r="F14" s="53" t="n">
        <x:f>100*B14/C14</x:f>
        <x:v>104.76969007676998</x:v>
      </x:c>
      <x:c r="G14" s="53" t="n">
        <x:f>100*(B14/SUMIFS($B$2:$B$181,$A$2:$A$181,EDATE(A14,-12))-1)</x:f>
        <x:v>83.92306818801025</x:v>
      </x:c>
      <x:c r="H14" s="53" t="n">
        <x:f>100*(C14/SUMIFS($C$2:$C$181,$A$2:$A$181,EDATE(A14,-12))-1)</x:f>
        <x:v>73.7244809752676</x:v>
      </x:c>
      <x:c r="I14" s="54" t="n">
        <x:f>100*B14/'Charts'!$AJ$7</x:f>
        <x:v>86.68980119985883</x:v>
      </x:c>
      <x:c r="J14" s="54" t="n">
        <x:f>100*C14/'Charts'!$AK$7</x:f>
        <x:v>84.93544913915414</x:v>
      </x:c>
    </x:row>
    <x:row r="15" ht="23" customHeight="1">
      <x:c r="A15" s="16" t="d">
        <x:v>1925-02-01T00:00:00.000Z</x:v>
      </x:c>
      <x:c r="B15" s="6" t="n">
        <x:v>1517.5</x:v>
      </x:c>
      <x:c r="C15" s="6" t="n">
        <x:v>1328.4</x:v>
      </x:c>
      <x:c r="D15" s="17" t="n">
        <x:f>B15-C15</x:f>
        <x:v>189.0999999999999</x:v>
      </x:c>
      <x:c r="E15" s="52" t="n">
        <x:f>B15+C15</x:f>
        <x:v>2845.9</x:v>
      </x:c>
      <x:c r="F15" s="53" t="n">
        <x:f>100*B15/C15</x:f>
        <x:v>114.23517012947906</x:v>
      </x:c>
      <x:c r="G15" s="53" t="n">
        <x:f>100*(B15/SUMIFS($B$2:$B$181,$A$2:$A$181,EDATE(A15,-12))-1)</x:f>
        <x:v>20.89064740559774</x:v>
      </x:c>
      <x:c r="H15" s="53" t="n">
        <x:f>100*(C15/SUMIFS($C$2:$C$181,$A$2:$A$181,EDATE(A15,-12))-1)</x:f>
        <x:v>6.654334458165634</x:v>
      </x:c>
      <x:c r="I15" s="54" t="n">
        <x:f>100*B15/'Charts'!$AJ$7</x:f>
        <x:v>89.25420538760146</x:v>
      </x:c>
      <x:c r="J15" s="54" t="n">
        <x:f>100*C15/'Charts'!$AK$7</x:f>
        <x:v>80.20205476005998</x:v>
      </x:c>
    </x:row>
    <x:row r="16" ht="23" customHeight="1">
      <x:c r="A16" s="16" t="d">
        <x:v>1925-03-01T00:00:00.000Z</x:v>
      </x:c>
      <x:c r="B16" s="6" t="n">
        <x:v>1705.1</x:v>
      </x:c>
      <x:c r="C16" s="6" t="n">
        <x:v>1442.1</x:v>
      </x:c>
      <x:c r="D16" s="17" t="n">
        <x:f>B16-C16</x:f>
        <x:v>263</x:v>
      </x:c>
      <x:c r="E16" s="52" t="n">
        <x:f>B16+C16</x:f>
        <x:v>3147.2</x:v>
      </x:c>
      <x:c r="F16" s="53" t="n">
        <x:f>100*B16/C16</x:f>
        <x:v>118.23729283683518</x:v>
      </x:c>
      <x:c r="G16" s="53" t="n">
        <x:f>100*(B16/SUMIFS($B$2:$B$181,$A$2:$A$181,EDATE(A16,-12))-1)</x:f>
        <x:v>26.95714113753378</x:v>
      </x:c>
      <x:c r="H16" s="53" t="n">
        <x:f>100*(C16/SUMIFS($C$2:$C$181,$A$2:$A$181,EDATE(A16,-12))-1)</x:f>
        <x:v>28.27914167457606</x:v>
      </x:c>
      <x:c r="I16" s="54" t="n">
        <x:f>100*B16/'Charts'!$AJ$7</x:f>
        <x:v>100.28820138807198</x:v>
      </x:c>
      <x:c r="J16" s="54" t="n">
        <x:f>100*C16/'Charts'!$AK$7</x:f>
        <x:v>87.06668410831263</x:v>
      </x:c>
    </x:row>
    <x:row r="17" ht="23" customHeight="1">
      <x:c r="A17" s="16" t="d">
        <x:v>1925-04-01T00:00:00.000Z</x:v>
      </x:c>
      <x:c r="B17" s="6" t="n">
        <x:v>1476.8</x:v>
      </x:c>
      <x:c r="C17" s="6" t="n">
        <x:v>1273.8</x:v>
      </x:c>
      <x:c r="D17" s="17" t="n">
        <x:f>B17-C17</x:f>
        <x:v>203</x:v>
      </x:c>
      <x:c r="E17" s="52" t="n">
        <x:f>B17+C17</x:f>
        <x:v>2750.6</x:v>
      </x:c>
      <x:c r="F17" s="53" t="n">
        <x:f>100*B17/C17</x:f>
        <x:v>115.93656775003926</x:v>
      </x:c>
      <x:c r="G17" s="53" t="n">
        <x:f>100*(B17/SUMIFS($B$2:$B$181,$A$2:$A$181,EDATE(A17,-12))-1)</x:f>
        <x:v>-2.1444769299375888</x:v>
      </x:c>
      <x:c r="H17" s="53" t="n">
        <x:f>100*(C17/SUMIFS($C$2:$C$181,$A$2:$A$181,EDATE(A17,-12))-1)</x:f>
        <x:v>-0.027940063854037245</x:v>
      </x:c>
      <x:c r="I17" s="54" t="n">
        <x:f>100*B17/'Charts'!$AJ$7</x:f>
        <x:v>86.8603693683096</x:v>
      </x:c>
      <x:c r="J17" s="54" t="n">
        <x:f>100*C17/'Charts'!$AK$7</x:f>
        <x:v>76.9055836746194</x:v>
      </x:c>
    </x:row>
    <x:row r="18" ht="23" customHeight="1">
      <x:c r="A18" s="16" t="d">
        <x:v>1925-05-01T00:00:00.000Z</x:v>
      </x:c>
      <x:c r="B18" s="6" t="n">
        <x:v>1326.3</x:v>
      </x:c>
      <x:c r="C18" s="6" t="n">
        <x:v>1173.1</x:v>
      </x:c>
      <x:c r="D18" s="17" t="n">
        <x:f>B18-C18</x:f>
        <x:v>153.20000000000005</x:v>
      </x:c>
      <x:c r="E18" s="52" t="n">
        <x:f>B18+C18</x:f>
        <x:v>2499.3999999999996</x:v>
      </x:c>
      <x:c r="F18" s="53" t="n">
        <x:f>100*B18/C18</x:f>
        <x:v>113.05941522461855</x:v>
      </x:c>
      <x:c r="G18" s="53" t="n">
        <x:f>100*(B18/SUMIFS($B$2:$B$181,$A$2:$A$181,EDATE(A18,-12))-1)</x:f>
        <x:v>-17.17135676477636</x:v>
      </x:c>
      <x:c r="H18" s="53" t="n">
        <x:f>100*(C18/SUMIFS($C$2:$C$181,$A$2:$A$181,EDATE(A18,-12))-1)</x:f>
        <x:v>-25.549981976127267</x:v>
      </x:c>
      <x:c r="I18" s="54" t="n">
        <x:f>100*B18/'Charts'!$AJ$7</x:f>
        <x:v>78.00846959181273</x:v>
      </x:c>
      <x:c r="J18" s="54" t="n">
        <x:f>100*C18/'Charts'!$AK$7</x:f>
        <x:v>70.82582839432878</x:v>
      </x:c>
    </x:row>
    <x:row r="19" ht="23" customHeight="1">
      <x:c r="A19" s="16" t="d">
        <x:v>1925-06-01T00:00:00.000Z</x:v>
      </x:c>
      <x:c r="B19" s="6" t="n">
        <x:v>1386.6</x:v>
      </x:c>
      <x:c r="C19" s="6" t="n">
        <x:v>1408.2</x:v>
      </x:c>
      <x:c r="D19" s="17" t="n">
        <x:f>B19-C19</x:f>
        <x:v>-21.600000000000136</x:v>
      </x:c>
      <x:c r="E19" s="52" t="n">
        <x:f>B19+C19</x:f>
        <x:v>2794.8</x:v>
      </x:c>
      <x:c r="F19" s="53" t="n">
        <x:f>100*B19/C19</x:f>
        <x:v>98.46612697060077</x:v>
      </x:c>
      <x:c r="G19" s="53" t="n">
        <x:f>100*(B19/SUMIFS($B$2:$B$181,$A$2:$A$181,EDATE(A19,-12))-1)</x:f>
        <x:v>4.403478610061851</x:v>
      </x:c>
      <x:c r="H19" s="53" t="n">
        <x:f>100*(C19/SUMIFS($C$2:$C$181,$A$2:$A$181,EDATE(A19,-12))-1)</x:f>
        <x:v>14.476171120821068</x:v>
      </x:c>
      <x:c r="I19" s="54" t="n">
        <x:f>100*B19/'Charts'!$AJ$7</x:f>
        <x:v>81.55511116339254</x:v>
      </x:c>
      <x:c r="J19" s="54" t="n">
        <x:f>100*C19/'Charts'!$AK$7</x:f>
        <x:v>85.01997403878083</x:v>
      </x:c>
    </x:row>
    <x:row r="20" ht="23" customHeight="1">
      <x:c r="A20" s="16" t="d">
        <x:v>1925-07-01T00:00:00.000Z</x:v>
      </x:c>
      <x:c r="B20" s="6" t="n">
        <x:v>1467.1</x:v>
      </x:c>
      <x:c r="C20" s="6" t="n">
        <x:v>946.6</x:v>
      </x:c>
      <x:c r="D20" s="17" t="n">
        <x:f>B20-C20</x:f>
        <x:v>520.4999999999999</x:v>
      </x:c>
      <x:c r="E20" s="52" t="n">
        <x:f>B20+C20</x:f>
        <x:v>2413.7</x:v>
      </x:c>
      <x:c r="F20" s="53" t="n">
        <x:f>100*B20/C20</x:f>
        <x:v>154.98626663849566</x:v>
      </x:c>
      <x:c r="G20" s="53" t="n">
        <x:f>100*(B20/SUMIFS($B$2:$B$181,$A$2:$A$181,EDATE(A20,-12))-1)</x:f>
        <x:v>11.737956428975437</x:v>
      </x:c>
      <x:c r="H20" s="53" t="n">
        <x:f>100*(C20/SUMIFS($C$2:$C$181,$A$2:$A$181,EDATE(A20,-12))-1)</x:f>
        <x:v>-23.011044084432474</x:v>
      </x:c>
      <x:c r="I20" s="54" t="n">
        <x:f>100*B20/'Charts'!$AJ$7</x:f>
        <x:v>86.28984825314669</x:v>
      </x:c>
      <x:c r="J20" s="54" t="n">
        <x:f>100*C20/'Charts'!$AK$7</x:f>
        <x:v>57.15090713329778</x:v>
      </x:c>
    </x:row>
    <x:row r="21" ht="23" customHeight="1">
      <x:c r="A21" s="16" t="d">
        <x:v>1925-08-01T00:00:00.000Z</x:v>
      </x:c>
      <x:c r="B21" s="6" t="n">
        <x:v>1338.2</x:v>
      </x:c>
      <x:c r="C21" s="6" t="n">
        <x:v>1329.7</x:v>
      </x:c>
      <x:c r="D21" s="17" t="n">
        <x:f>B21-C21</x:f>
        <x:v>8.5</x:v>
      </x:c>
      <x:c r="E21" s="52" t="n">
        <x:f>B21+C21</x:f>
        <x:v>2667.9</x:v>
      </x:c>
      <x:c r="F21" s="53" t="n">
        <x:f>100*B21/C21</x:f>
        <x:v>100.63924193427088</x:v>
      </x:c>
      <x:c r="G21" s="53" t="n">
        <x:f>100*(B21/SUMIFS($B$2:$B$181,$A$2:$A$181,EDATE(A21,-12))-1)</x:f>
        <x:v>20.33072515852119</x:v>
      </x:c>
      <x:c r="H21" s="53" t="n">
        <x:f>100*(C21/SUMIFS($C$2:$C$181,$A$2:$A$181,EDATE(A21,-12))-1)</x:f>
        <x:v>8.907801441674913</x:v>
      </x:c>
      <x:c r="I21" s="54" t="n">
        <x:f>100*B21/'Charts'!$AJ$7</x:f>
        <x:v>78.70838724855899</x:v>
      </x:c>
      <x:c r="J21" s="54" t="n">
        <x:f>100*C21/'Charts'!$AK$7</x:f>
        <x:v>80.28054216685618</x:v>
      </x:c>
    </x:row>
    <x:row r="22" ht="23" customHeight="1">
      <x:c r="A22" s="16" t="d">
        <x:v>1925-09-01T00:00:00.000Z</x:v>
      </x:c>
      <x:c r="B22" s="6" t="n">
        <x:v>1687.8</x:v>
      </x:c>
      <x:c r="C22" s="6" t="n">
        <x:v>1669.2</x:v>
      </x:c>
      <x:c r="D22" s="17" t="n">
        <x:f>B22-C22</x:f>
        <x:v>18.59999999999991</x:v>
      </x:c>
      <x:c r="E22" s="52" t="n">
        <x:f>B22+C22</x:f>
        <x:v>3357</x:v>
      </x:c>
      <x:c r="F22" s="53" t="n">
        <x:f>100*B22/C22</x:f>
        <x:v>101.11430625449317</x:v>
      </x:c>
      <x:c r="G22" s="53" t="n">
        <x:f>100*(B22/SUMIFS($B$2:$B$181,$A$2:$A$181,EDATE(A22,-12))-1)</x:f>
        <x:v>18.064574798247456</x:v>
      </x:c>
      <x:c r="H22" s="53" t="n">
        <x:f>100*(C22/SUMIFS($C$2:$C$181,$A$2:$A$181,EDATE(A22,-12))-1)</x:f>
        <x:v>14.61278702977653</x:v>
      </x:c>
      <x:c r="I22" s="54" t="n">
        <x:f>100*B22/'Charts'!$AJ$7</x:f>
        <x:v>99.27067403834843</x:v>
      </x:c>
      <x:c r="J22" s="54" t="n">
        <x:f>100*C22/'Charts'!$AK$7</x:f>
        <x:v>100.7778303263265</x:v>
      </x:c>
    </x:row>
    <x:row r="23" ht="23" customHeight="1">
      <x:c r="A23" s="16" t="d">
        <x:v>1925-10-01T00:00:00.000Z</x:v>
      </x:c>
      <x:c r="B23" s="6" t="n">
        <x:v>1616.4</x:v>
      </x:c>
      <x:c r="C23" s="6" t="n">
        <x:v>1795.4</x:v>
      </x:c>
      <x:c r="D23" s="17" t="n">
        <x:f>B23-C23</x:f>
        <x:v>-179</x:v>
      </x:c>
      <x:c r="E23" s="52" t="n">
        <x:f>B23+C23</x:f>
        <x:v>3411.8</x:v>
      </x:c>
      <x:c r="F23" s="53" t="n">
        <x:f>100*B23/C23</x:f>
        <x:v>90.03007686309456</x:v>
      </x:c>
      <x:c r="G23" s="53" t="n">
        <x:f>100*(B23/SUMIFS($B$2:$B$181,$A$2:$A$181,EDATE(A23,-12))-1)</x:f>
        <x:v>10.50746105393654</x:v>
      </x:c>
      <x:c r="H23" s="53" t="n">
        <x:f>100*(C23/SUMIFS($C$2:$C$181,$A$2:$A$181,EDATE(A23,-12))-1)</x:f>
        <x:v>32.53118771683767</x:v>
      </x:c>
      <x:c r="I23" s="54" t="n">
        <x:f>100*B23/'Charts'!$AJ$7</x:f>
        <x:v>95.07116809787084</x:v>
      </x:c>
      <x:c r="J23" s="54" t="n">
        <x:f>100*C23/'Charts'!$AK$7</x:f>
        <x:v>108.3971462783888</x:v>
      </x:c>
    </x:row>
    <x:row r="24" ht="23" customHeight="1">
      <x:c r="A24" s="16" t="d">
        <x:v>1925-11-01T00:00:00.000Z</x:v>
      </x:c>
      <x:c r="B24" s="6" t="n">
        <x:v>1807.7</x:v>
      </x:c>
      <x:c r="C24" s="6" t="n">
        <x:v>1827.5</x:v>
      </x:c>
      <x:c r="D24" s="17" t="n">
        <x:f>B24-C24</x:f>
        <x:v>-19.799999999999955</x:v>
      </x:c>
      <x:c r="E24" s="52" t="n">
        <x:f>B24+C24</x:f>
        <x:v>3635.2</x:v>
      </x:c>
      <x:c r="F24" s="53" t="n">
        <x:f>100*B24/C24</x:f>
        <x:v>98.91655266757866</x:v>
      </x:c>
      <x:c r="G24" s="53" t="n">
        <x:f>100*(B24/SUMIFS($B$2:$B$181,$A$2:$A$181,EDATE(A24,-12))-1)</x:f>
        <x:v>2.33109830585998</x:v>
      </x:c>
      <x:c r="H24" s="53" t="n">
        <x:f>100*(C24/SUMIFS($C$2:$C$181,$A$2:$A$181,EDATE(A24,-12))-1)</x:f>
        <x:v>20.56459194410816</x:v>
      </x:c>
      <x:c r="I24" s="54" t="n">
        <x:f>100*B24/'Charts'!$AJ$7</x:f>
        <x:v>106.32278555464063</x:v>
      </x:c>
      <x:c r="J24" s="54" t="n">
        <x:f>100*C24/'Charts'!$AK$7</x:f>
        <x:v>110.335181476972</x:v>
      </x:c>
    </x:row>
    <x:row r="25" ht="23" customHeight="1">
      <x:c r="A25" s="16" t="d">
        <x:v>1925-12-01T00:00:00.000Z</x:v>
      </x:c>
      <x:c r="B25" s="6" t="n">
        <x:v>1949.8</x:v>
      </x:c>
      <x:c r="C25" s="6" t="n">
        <x:v>1978.9</x:v>
      </x:c>
      <x:c r="D25" s="17" t="n">
        <x:f>B25-C25</x:f>
        <x:v>-29.100000000000136</x:v>
      </x:c>
      <x:c r="E25" s="52" t="n">
        <x:f>B25+C25</x:f>
        <x:v>3928.7</x:v>
      </x:c>
      <x:c r="F25" s="53" t="n">
        <x:f>100*B25/C25</x:f>
        <x:v>98.52948607812421</x:v>
      </x:c>
      <x:c r="G25" s="53" t="n">
        <x:f>100*(B25/SUMIFS($B$2:$B$181,$A$2:$A$181,EDATE(A25,-12))-1)</x:f>
        <x:v>-7.735958338433346</x:v>
      </x:c>
      <x:c r="H25" s="53" t="n">
        <x:f>100*(C25/SUMIFS($C$2:$C$181,$A$2:$A$181,EDATE(A25,-12))-1)</x:f>
        <x:v>8.856193097211463</x:v>
      </x:c>
      <x:c r="I25" s="54" t="n">
        <x:f>100*B25/'Charts'!$AJ$7</x:f>
        <x:v>114.68062580872838</x:v>
      </x:c>
      <x:c r="J25" s="54" t="n">
        <x:f>100*C25/'Charts'!$AK$7</x:f>
        <x:v>119.47594562231458</x:v>
      </x:c>
    </x:row>
    <x:row r="26" ht="23" customHeight="1">
      <x:c r="A26" s="16" t="d">
        <x:v>1926-01-01T00:00:00.000Z</x:v>
      </x:c>
      <x:c r="B26" s="6" t="n">
        <x:v>1178.8</x:v>
      </x:c>
      <x:c r="C26" s="6" t="n">
        <x:v>1117.3</x:v>
      </x:c>
      <x:c r="D26" s="17" t="n">
        <x:f>B26-C26</x:f>
        <x:v>61.5</x:v>
      </x:c>
      <x:c r="E26" s="52" t="n">
        <x:f>B26+C26</x:f>
        <x:v>2296.1</x:v>
      </x:c>
      <x:c r="F26" s="53" t="n">
        <x:f>100*B26/C26</x:f>
        <x:v>105.50434082162356</x:v>
      </x:c>
      <x:c r="G26" s="53" t="n">
        <x:f>100*(B26/SUMIFS($B$2:$B$181,$A$2:$A$181,EDATE(A26,-12))-1)</x:f>
        <x:v>-20.02171110658797</x:v>
      </x:c>
      <x:c r="H26" s="53" t="n">
        <x:f>100*(C26/SUMIFS($C$2:$C$181,$A$2:$A$181,EDATE(A26,-12))-1)</x:f>
        <x:v>-20.578618140460627</x:v>
      </x:c>
      <x:c r="I26" s="54" t="n">
        <x:f>100*B26/'Charts'!$AJ$7</x:f>
        <x:v>69.33301964474768</x:v>
      </x:c>
      <x:c r="J26" s="54" t="n">
        <x:f>100*C26/'Charts'!$AK$7</x:f>
        <x:v>67.45690739492247</x:v>
      </x:c>
    </x:row>
    <x:row r="27" ht="23" customHeight="1">
      <x:c r="A27" s="16" t="d">
        <x:v>1926-02-01T00:00:00.000Z</x:v>
      </x:c>
      <x:c r="B27" s="6" t="n">
        <x:v>1475.1</x:v>
      </x:c>
      <x:c r="C27" s="6" t="n">
        <x:v>1280.1</x:v>
      </x:c>
      <x:c r="D27" s="17" t="n">
        <x:f>B27-C27</x:f>
        <x:v>195</x:v>
      </x:c>
      <x:c r="E27" s="52" t="n">
        <x:f>B27+C27</x:f>
        <x:v>2755.2</x:v>
      </x:c>
      <x:c r="F27" s="53" t="n">
        <x:f>100*B27/C27</x:f>
        <x:v>115.23318490742912</x:v>
      </x:c>
      <x:c r="G27" s="53" t="n">
        <x:f>100*(B27/SUMIFS($B$2:$B$181,$A$2:$A$181,EDATE(A27,-12))-1)</x:f>
        <x:v>-2.794069192751236</x:v>
      </x:c>
      <x:c r="H27" s="53" t="n">
        <x:f>100*(C27/SUMIFS($C$2:$C$181,$A$2:$A$181,EDATE(A27,-12))-1)</x:f>
        <x:v>-3.6359530261969475</x:v>
      </x:c>
      <x:c r="I27" s="54" t="n">
        <x:f>100*B27/'Charts'!$AJ$7</x:f>
        <x:v>86.76038113163158</x:v>
      </x:c>
      <x:c r="J27" s="54" t="n">
        <x:f>100*C27/'Charts'!$AK$7</x:f>
        <x:v>77.28594572293945</x:v>
      </x:c>
    </x:row>
    <x:row r="28" ht="23" customHeight="1">
      <x:c r="A28" s="16" t="d">
        <x:v>1926-03-01T00:00:00.000Z</x:v>
      </x:c>
      <x:c r="B28" s="6" t="n">
        <x:v>1511.9</x:v>
      </x:c>
      <x:c r="C28" s="6" t="n">
        <x:v>1531.3</x:v>
      </x:c>
      <x:c r="D28" s="17" t="n">
        <x:f>B28-C28</x:f>
        <x:v>-19.399999999999864</x:v>
      </x:c>
      <x:c r="E28" s="52" t="n">
        <x:f>B28+C28</x:f>
        <x:v>3043.2</x:v>
      </x:c>
      <x:c r="F28" s="53" t="n">
        <x:f>100*B28/C28</x:f>
        <x:v>98.73310259256841</x:v>
      </x:c>
      <x:c r="G28" s="53" t="n">
        <x:f>100*(B28/SUMIFS($B$2:$B$181,$A$2:$A$181,EDATE(A28,-12))-1)</x:f>
        <x:v>-11.33071374112954</x:v>
      </x:c>
      <x:c r="H28" s="53" t="n">
        <x:f>100*(C28/SUMIFS($C$2:$C$181,$A$2:$A$181,EDATE(A28,-12))-1)</x:f>
        <x:v>6.185424034394282</x:v>
      </x:c>
      <x:c r="I28" s="54" t="n">
        <x:f>100*B28/'Charts'!$AJ$7</x:f>
        <x:v>88.92483237266204</x:v>
      </x:c>
      <x:c r="J28" s="54" t="n">
        <x:f>100*C28/'Charts'!$AK$7</x:f>
        <x:v>92.45212771309835</x:v>
      </x:c>
    </x:row>
    <x:row r="29" ht="23" customHeight="1">
      <x:c r="A29" s="16" t="d">
        <x:v>1926-04-01T00:00:00.000Z</x:v>
      </x:c>
      <x:c r="B29" s="6" t="n">
        <x:v>1331.2</x:v>
      </x:c>
      <x:c r="C29" s="6" t="n">
        <x:v>1170.2</x:v>
      </x:c>
      <x:c r="D29" s="17" t="n">
        <x:f>B29-C29</x:f>
        <x:v>161</x:v>
      </x:c>
      <x:c r="E29" s="52" t="n">
        <x:f>B29+C29</x:f>
        <x:v>2501.4</x:v>
      </x:c>
      <x:c r="F29" s="53" t="n">
        <x:f>100*B29/C29</x:f>
        <x:v>113.75833190907537</x:v>
      </x:c>
      <x:c r="G29" s="53" t="n">
        <x:f>100*(B29/SUMIFS($B$2:$B$181,$A$2:$A$181,EDATE(A29,-12))-1)</x:f>
        <x:v>-9.859154929577462</x:v>
      </x:c>
      <x:c r="H29" s="53" t="n">
        <x:f>100*(C29/SUMIFS($C$2:$C$181,$A$2:$A$181,EDATE(A29,-12))-1)</x:f>
        <x:v>-8.133144920709679</x:v>
      </x:c>
      <x:c r="I29" s="54" t="n">
        <x:f>100*B29/'Charts'!$AJ$7</x:f>
        <x:v>78.29667097988472</x:v>
      </x:c>
      <x:c r="J29" s="54" t="n">
        <x:f>100*C29/'Charts'!$AK$7</x:f>
        <x:v>70.65074110224495</x:v>
      </x:c>
    </x:row>
    <x:row r="30" ht="23" customHeight="1">
      <x:c r="A30" s="16" t="d">
        <x:v>1926-05-01T00:00:00.000Z</x:v>
      </x:c>
      <x:c r="B30" s="6" t="n">
        <x:v>1216</x:v>
      </x:c>
      <x:c r="C30" s="6" t="n">
        <x:v>1078.7</x:v>
      </x:c>
      <x:c r="D30" s="17" t="n">
        <x:f>B30-C30</x:f>
        <x:v>137.29999999999995</x:v>
      </x:c>
      <x:c r="E30" s="52" t="n">
        <x:f>B30+C30</x:f>
        <x:v>2294.7</x:v>
      </x:c>
      <x:c r="F30" s="53" t="n">
        <x:f>100*B30/C30</x:f>
        <x:v>112.72828404561045</x:v>
      </x:c>
      <x:c r="G30" s="53" t="n">
        <x:f>100*(B30/SUMIFS($B$2:$B$181,$A$2:$A$181,EDATE(A30,-12))-1)</x:f>
        <x:v>-8.31636884566086</x:v>
      </x:c>
      <x:c r="H30" s="53" t="n">
        <x:f>100*(C30/SUMIFS($C$2:$C$181,$A$2:$A$181,EDATE(A30,-12))-1)</x:f>
        <x:v>-8.04705481203647</x:v>
      </x:c>
      <x:c r="I30" s="54" t="n">
        <x:f>100*B30/'Charts'!$AJ$7</x:f>
        <x:v>71.52099752970238</x:v>
      </x:c>
      <x:c r="J30" s="54" t="n">
        <x:f>100*C30/'Charts'!$AK$7</x:f>
        <x:v>65.12643516235825</x:v>
      </x:c>
    </x:row>
    <x:row r="31" ht="23" customHeight="1">
      <x:c r="A31" s="16" t="d">
        <x:v>1926-06-01T00:00:00.000Z</x:v>
      </x:c>
      <x:c r="B31" s="6" t="n">
        <x:v>1171.1</x:v>
      </x:c>
      <x:c r="C31" s="6" t="n">
        <x:v>1330.2</x:v>
      </x:c>
      <x:c r="D31" s="17" t="n">
        <x:f>B31-C31</x:f>
        <x:v>-159.10000000000014</x:v>
      </x:c>
      <x:c r="E31" s="52" t="n">
        <x:f>B31+C31</x:f>
        <x:v>2501.3</x:v>
      </x:c>
      <x:c r="F31" s="53" t="n">
        <x:f>100*B31/C31</x:f>
        <x:v>88.03939257254547</x:v>
      </x:c>
      <x:c r="G31" s="53" t="n">
        <x:f>100*(B31/SUMIFS($B$2:$B$181,$A$2:$A$181,EDATE(A31,-12))-1)</x:f>
        <x:v>-15.541612577527763</x:v>
      </x:c>
      <x:c r="H31" s="53" t="n">
        <x:f>100*(C31/SUMIFS($C$2:$C$181,$A$2:$A$181,EDATE(A31,-12))-1)</x:f>
        <x:v>-5.538985939497232</x:v>
      </x:c>
      <x:c r="I31" s="54" t="n">
        <x:f>100*B31/'Charts'!$AJ$7</x:f>
        <x:v>68.88013174920597</x:v>
      </x:c>
      <x:c r="J31" s="54" t="n">
        <x:f>100*C31/'Charts'!$AK$7</x:f>
        <x:v>80.31072963100857</x:v>
      </x:c>
    </x:row>
    <x:row r="32" ht="23" customHeight="1">
      <x:c r="A32" s="16" t="d">
        <x:v>1926-07-01T00:00:00.000Z</x:v>
      </x:c>
      <x:c r="B32" s="6" t="n">
        <x:v>1329.5</x:v>
      </x:c>
      <x:c r="C32" s="6" t="n">
        <x:v>1165.3</x:v>
      </x:c>
      <x:c r="D32" s="17" t="n">
        <x:f>B32-C32</x:f>
        <x:v>164.20000000000005</x:v>
      </x:c>
      <x:c r="E32" s="52" t="n">
        <x:f>B32+C32</x:f>
        <x:v>2494.8</x:v>
      </x:c>
      <x:c r="F32" s="53" t="n">
        <x:f>100*B32/C32</x:f>
        <x:v>114.09079207071142</x:v>
      </x:c>
      <x:c r="G32" s="53" t="n">
        <x:f>100*(B32/SUMIFS($B$2:$B$181,$A$2:$A$181,EDATE(A32,-12))-1)</x:f>
        <x:v>-9.379047099720527</x:v>
      </x:c>
      <x:c r="H32" s="53" t="n">
        <x:f>100*(C32/SUMIFS($C$2:$C$181,$A$2:$A$181,EDATE(A32,-12))-1)</x:f>
        <x:v>23.103739699978853</x:v>
      </x:c>
      <x:c r="I32" s="54" t="n">
        <x:f>100*B32/'Charts'!$AJ$7</x:f>
        <x:v>78.19668274320668</x:v>
      </x:c>
      <x:c r="J32" s="54" t="n">
        <x:f>100*C32/'Charts'!$AK$7</x:f>
        <x:v>70.35490395355156</x:v>
      </x:c>
    </x:row>
    <x:row r="33" ht="23" customHeight="1">
      <x:c r="A33" s="16" t="d">
        <x:v>1926-08-01T00:00:00.000Z</x:v>
      </x:c>
      <x:c r="B33" s="6" t="n">
        <x:v>1362.8</x:v>
      </x:c>
      <x:c r="C33" s="6" t="n">
        <x:v>919.6</x:v>
      </x:c>
      <x:c r="D33" s="17" t="n">
        <x:f>B33-C33</x:f>
        <x:v>443.19999999999993</x:v>
      </x:c>
      <x:c r="E33" s="52" t="n">
        <x:f>B33+C33</x:f>
        <x:v>2282.4</x:v>
      </x:c>
      <x:c r="F33" s="53" t="n">
        <x:f>100*B33/C33</x:f>
        <x:v>148.1948673336233</x:v>
      </x:c>
      <x:c r="G33" s="53" t="n">
        <x:f>100*(B33/SUMIFS($B$2:$B$181,$A$2:$A$181,EDATE(A33,-12))-1)</x:f>
        <x:v>1.8382902406217205</x:v>
      </x:c>
      <x:c r="H33" s="53" t="n">
        <x:f>100*(C33/SUMIFS($C$2:$C$181,$A$2:$A$181,EDATE(A33,-12))-1)</x:f>
        <x:v>-30.841543205234267</x:v>
      </x:c>
      <x:c r="I33" s="54" t="n">
        <x:f>100*B33/'Charts'!$AJ$7</x:f>
        <x:v>80.15527584990001</x:v>
      </x:c>
      <x:c r="J33" s="54" t="n">
        <x:f>100*C33/'Charts'!$AK$7</x:f>
        <x:v>55.52078406906892</x:v>
      </x:c>
    </x:row>
    <x:row r="34" ht="23" customHeight="1">
      <x:c r="A34" s="16" t="d">
        <x:v>1926-09-01T00:00:00.000Z</x:v>
      </x:c>
      <x:c r="B34" s="6" t="n">
        <x:v>1476.6</x:v>
      </x:c>
      <x:c r="C34" s="6" t="n">
        <x:v>1366.8</x:v>
      </x:c>
      <x:c r="D34" s="17" t="n">
        <x:f>B34-C34</x:f>
        <x:v>109.79999999999995</x:v>
      </x:c>
      <x:c r="E34" s="52" t="n">
        <x:f>B34+C34</x:f>
        <x:v>2843.3999999999996</x:v>
      </x:c>
      <x:c r="F34" s="53" t="n">
        <x:f>100*B34/C34</x:f>
        <x:v>108.03336259877085</x:v>
      </x:c>
      <x:c r="G34" s="53" t="n">
        <x:f>100*(B34/SUMIFS($B$2:$B$181,$A$2:$A$181,EDATE(A34,-12))-1)</x:f>
        <x:v>-12.513330963384295</x:v>
      </x:c>
      <x:c r="H34" s="53" t="n">
        <x:f>100*(C34/SUMIFS($C$2:$C$181,$A$2:$A$181,EDATE(A34,-12))-1)</x:f>
        <x:v>-18.11646297627606</x:v>
      </x:c>
      <x:c r="I34" s="54" t="n">
        <x:f>100*B34/'Charts'!$AJ$7</x:f>
        <x:v>86.84860604634748</x:v>
      </x:c>
      <x:c r="J34" s="54" t="n">
        <x:f>100*C34/'Charts'!$AK$7</x:f>
        <x:v>82.52045200696324</x:v>
      </x:c>
    </x:row>
    <x:row r="35" ht="23" customHeight="1">
      <x:c r="A35" s="16" t="d">
        <x:v>1926-10-01T00:00:00.000Z</x:v>
      </x:c>
      <x:c r="B35" s="6" t="n">
        <x:v>1685</x:v>
      </x:c>
      <x:c r="C35" s="6" t="n">
        <x:v>1344.8</x:v>
      </x:c>
      <x:c r="D35" s="17" t="n">
        <x:f>B35-C35</x:f>
        <x:v>340.20000000000005</x:v>
      </x:c>
      <x:c r="E35" s="52" t="n">
        <x:f>B35+C35</x:f>
        <x:v>3029.8</x:v>
      </x:c>
      <x:c r="F35" s="53" t="n">
        <x:f>100*B35/C35</x:f>
        <x:v>125.29744199881024</x:v>
      </x:c>
      <x:c r="G35" s="53" t="n">
        <x:f>100*(B35/SUMIFS($B$2:$B$181,$A$2:$A$181,EDATE(A35,-12))-1)</x:f>
        <x:v>4.243999010146005</x:v>
      </x:c>
      <x:c r="H35" s="53" t="n">
        <x:f>100*(C35/SUMIFS($C$2:$C$181,$A$2:$A$181,EDATE(A35,-12))-1)</x:f>
        <x:v>-25.097471315584276</x:v>
      </x:c>
      <x:c r="I35" s="54" t="n">
        <x:f>100*B35/'Charts'!$AJ$7</x:f>
        <x:v>99.10598753087872</x:v>
      </x:c>
      <x:c r="J35" s="54" t="n">
        <x:f>100*C35/'Charts'!$AK$7</x:f>
        <x:v>81.19220358425825</x:v>
      </x:c>
    </x:row>
    <x:row r="36" ht="23" customHeight="1">
      <x:c r="A36" s="16" t="d">
        <x:v>1926-11-01T00:00:00.000Z</x:v>
      </x:c>
      <x:c r="B36" s="6" t="n">
        <x:v>2098.3</x:v>
      </x:c>
      <x:c r="C36" s="6" t="n">
        <x:v>1341.3</x:v>
      </x:c>
      <x:c r="D36" s="17" t="n">
        <x:f>B36-C36</x:f>
        <x:v>757.0000000000002</x:v>
      </x:c>
      <x:c r="E36" s="52" t="n">
        <x:f>B36+C36</x:f>
        <x:v>3439.6000000000004</x:v>
      </x:c>
      <x:c r="F36" s="53" t="n">
        <x:f>100*B36/C36</x:f>
        <x:v>156.43778423917098</x:v>
      </x:c>
      <x:c r="G36" s="53" t="n">
        <x:f>100*(B36/SUMIFS($B$2:$B$181,$A$2:$A$181,EDATE(A36,-12))-1)</x:f>
        <x:v>16.075676273718</x:v>
      </x:c>
      <x:c r="H36" s="53" t="n">
        <x:f>100*(C36/SUMIFS($C$2:$C$181,$A$2:$A$181,EDATE(A36,-12))-1)</x:f>
        <x:v>-26.604651162790706</x:v>
      </x:c>
      <x:c r="I36" s="54" t="n">
        <x:f>100*B36/'Charts'!$AJ$7</x:f>
        <x:v>123.41489236560406</x:v>
      </x:c>
      <x:c r="J36" s="54" t="n">
        <x:f>100*C36/'Charts'!$AK$7</x:f>
        <x:v>80.98089133519154</x:v>
      </x:c>
    </x:row>
    <x:row r="37" ht="23" customHeight="1">
      <x:c r="A37" s="16" t="d">
        <x:v>1926-12-01T00:00:00.000Z</x:v>
      </x:c>
      <x:c r="B37" s="6" t="n">
        <x:v>1905.5</x:v>
      </x:c>
      <x:c r="C37" s="6" t="n">
        <x:v>1612.3</x:v>
      </x:c>
      <x:c r="D37" s="17" t="n">
        <x:f>B37-C37</x:f>
        <x:v>293.20000000000005</x:v>
      </x:c>
      <x:c r="E37" s="52" t="n">
        <x:f>B37+C37</x:f>
        <x:v>3517.8</x:v>
      </x:c>
      <x:c r="F37" s="53" t="n">
        <x:f>100*B37/C37</x:f>
        <x:v>118.18520126527322</x:v>
      </x:c>
      <x:c r="G37" s="53" t="n">
        <x:f>100*(B37/SUMIFS($B$2:$B$181,$A$2:$A$181,EDATE(A37,-12))-1)</x:f>
        <x:v>-2.2720279002974686</x:v>
      </x:c>
      <x:c r="H37" s="53" t="n">
        <x:f>100*(C37/SUMIFS($C$2:$C$181,$A$2:$A$181,EDATE(A37,-12))-1)</x:f>
        <x:v>-18.525443428167165</x:v>
      </x:c>
      <x:c r="I37" s="54" t="n">
        <x:f>100*B37/'Charts'!$AJ$7</x:f>
        <x:v>112.07504999411833</x:v>
      </x:c>
      <x:c r="J37" s="54" t="n">
        <x:f>100*C37/'Charts'!$AK$7</x:f>
        <x:v>97.34249690578493</x:v>
      </x:c>
    </x:row>
    <x:row r="38" ht="23" customHeight="1">
      <x:c r="A38" s="16" t="d">
        <x:v>1927-01-01T00:00:00.000Z</x:v>
      </x:c>
      <x:c r="B38" s="6" t="n">
        <x:v>1284.1</x:v>
      </x:c>
      <x:c r="C38" s="6" t="n">
        <x:v>887.41</x:v>
      </x:c>
      <x:c r="D38" s="17" t="n">
        <x:f>B38-C38</x:f>
        <x:v>396.68999999999994</x:v>
      </x:c>
      <x:c r="E38" s="52" t="n">
        <x:f>B38+C38</x:f>
        <x:v>2171.5099999999998</x:v>
      </x:c>
      <x:c r="F38" s="53" t="n">
        <x:f>100*B38/C38</x:f>
        <x:v>144.7019979490878</x:v>
      </x:c>
      <x:c r="G38" s="53" t="n">
        <x:f>100*(B38/SUMIFS($B$2:$B$181,$A$2:$A$181,EDATE(A38,-12))-1)</x:f>
        <x:v>8.932813030200194</x:v>
      </x:c>
      <x:c r="H38" s="53" t="n">
        <x:f>100*(C38/SUMIFS($C$2:$C$181,$A$2:$A$181,EDATE(A38,-12))-1)</x:f>
        <x:v>-20.575494495659175</x:v>
      </x:c>
      <x:c r="I38" s="54" t="n">
        <x:f>100*B38/'Charts'!$AJ$7</x:f>
        <x:v>75.52640865780495</x:v>
      </x:c>
      <x:c r="J38" s="54" t="n">
        <x:f>100*C38/'Charts'!$AK$7</x:f>
        <x:v>53.57731512693829</x:v>
      </x:c>
    </x:row>
    <x:row r="39" ht="23" customHeight="1">
      <x:c r="A39" s="16" t="d">
        <x:v>1927-02-01T00:00:00.000Z</x:v>
      </x:c>
      <x:c r="B39" s="6" t="n">
        <x:v>1421.7</x:v>
      </x:c>
      <x:c r="C39" s="6" t="n">
        <x:v>1191.7</x:v>
      </x:c>
      <x:c r="D39" s="17" t="n">
        <x:f>B39-C39</x:f>
        <x:v>230</x:v>
      </x:c>
      <x:c r="E39" s="52" t="n">
        <x:f>B39+C39</x:f>
        <x:v>2613.4</x:v>
      </x:c>
      <x:c r="F39" s="53" t="n">
        <x:f>100*B39/C39</x:f>
        <x:v>119.30015943609969</x:v>
      </x:c>
      <x:c r="G39" s="53" t="n">
        <x:f>100*(B39/SUMIFS($B$2:$B$181,$A$2:$A$181,EDATE(A39,-12))-1)</x:f>
        <x:v>-3.620093552979453</x:v>
      </x:c>
      <x:c r="H39" s="53" t="n">
        <x:f>100*(C39/SUMIFS($C$2:$C$181,$A$2:$A$181,EDATE(A39,-12))-1)</x:f>
        <x:v>-6.905710491367856</x:v>
      </x:c>
      <x:c r="I39" s="54" t="n">
        <x:f>100*B39/'Charts'!$AJ$7</x:f>
        <x:v>83.61957416774497</x:v>
      </x:c>
      <x:c r="J39" s="54" t="n">
        <x:f>100*C39/'Charts'!$AK$7</x:f>
        <x:v>71.94880206079756</x:v>
      </x:c>
    </x:row>
    <x:row r="40" ht="23" customHeight="1">
      <x:c r="A40" s="16" t="d">
        <x:v>1927-03-01T00:00:00.000Z</x:v>
      </x:c>
      <x:c r="B40" s="6" t="n">
        <x:v>1528.7</x:v>
      </x:c>
      <x:c r="C40" s="6" t="n">
        <x:v>1306.7</x:v>
      </x:c>
      <x:c r="D40" s="17" t="n">
        <x:f>B40-C40</x:f>
        <x:v>222</x:v>
      </x:c>
      <x:c r="E40" s="52" t="n">
        <x:f>B40+C40</x:f>
        <x:v>2835.4</x:v>
      </x:c>
      <x:c r="F40" s="53" t="n">
        <x:f>100*B40/C40</x:f>
        <x:v>116.98936251626233</x:v>
      </x:c>
      <x:c r="G40" s="53" t="n">
        <x:f>100*(B40/SUMIFS($B$2:$B$181,$A$2:$A$181,EDATE(A40,-12))-1)</x:f>
        <x:v>1.1111846021562233</x:v>
      </x:c>
      <x:c r="H40" s="53" t="n">
        <x:f>100*(C40/SUMIFS($C$2:$C$181,$A$2:$A$181,EDATE(A40,-12))-1)</x:f>
        <x:v>-14.667276170574016</x:v>
      </x:c>
      <x:c r="I40" s="54" t="n">
        <x:f>100*B40/'Charts'!$AJ$7</x:f>
        <x:v>89.9129514174803</x:v>
      </x:c>
      <x:c r="J40" s="54" t="n">
        <x:f>100*C40/'Charts'!$AK$7</x:f>
        <x:v>78.89191881584641</x:v>
      </x:c>
    </x:row>
    <x:row r="41" ht="23" customHeight="1">
      <x:c r="A41" s="16" t="d">
        <x:v>1927-04-01T00:00:00.000Z</x:v>
      </x:c>
      <x:c r="B41" s="6" t="n">
        <x:v>1534.8</x:v>
      </x:c>
      <x:c r="C41" s="6" t="n">
        <x:v>1261.9</x:v>
      </x:c>
      <x:c r="D41" s="17" t="n">
        <x:f>B41-C41</x:f>
        <x:v>272.89999999999986</x:v>
      </x:c>
      <x:c r="E41" s="52" t="n">
        <x:f>B41+C41</x:f>
        <x:v>2796.7</x:v>
      </x:c>
      <x:c r="F41" s="53" t="n">
        <x:f>100*B41/C41</x:f>
        <x:v>121.62611934384657</x:v>
      </x:c>
      <x:c r="G41" s="53" t="n">
        <x:f>100*(B41/SUMIFS($B$2:$B$181,$A$2:$A$181,EDATE(A41,-12))-1)</x:f>
        <x:v>15.294471153846146</x:v>
      </x:c>
      <x:c r="H41" s="53" t="n">
        <x:f>100*(C41/SUMIFS($C$2:$C$181,$A$2:$A$181,EDATE(A41,-12))-1)</x:f>
        <x:v>7.836267304734235</x:v>
      </x:c>
      <x:c r="I41" s="54" t="n">
        <x:f>100*B41/'Charts'!$AJ$7</x:f>
        <x:v>90.27173273732502</x:v>
      </x:c>
      <x:c r="J41" s="54" t="n">
        <x:f>100*C41/'Charts'!$AK$7</x:f>
        <x:v>76.1871220277926</x:v>
      </x:c>
    </x:row>
    <x:row r="42" ht="23" customHeight="1">
      <x:c r="A42" s="16" t="d">
        <x:v>1927-05-01T00:00:00.000Z</x:v>
      </x:c>
      <x:c r="B42" s="6" t="n">
        <x:v>1513.5</x:v>
      </x:c>
      <x:c r="C42" s="6" t="n">
        <x:v>1362.6</x:v>
      </x:c>
      <x:c r="D42" s="17" t="n">
        <x:f>B42-C42</x:f>
        <x:v>150.9000000000001</x:v>
      </x:c>
      <x:c r="E42" s="52" t="n">
        <x:f>B42+C42</x:f>
        <x:v>2876.1</x:v>
      </x:c>
      <x:c r="F42" s="53" t="n">
        <x:f>100*B42/C42</x:f>
        <x:v>111.07441655658302</x:v>
      </x:c>
      <x:c r="G42" s="53" t="n">
        <x:f>100*(B42/SUMIFS($B$2:$B$181,$A$2:$A$181,EDATE(A42,-12))-1)</x:f>
        <x:v>24.465460526315795</x:v>
      </x:c>
      <x:c r="H42" s="53" t="n">
        <x:f>100*(C42/SUMIFS($C$2:$C$181,$A$2:$A$181,EDATE(A42,-12))-1)</x:f>
        <x:v>26.318716974135526</x:v>
      </x:c>
      <x:c r="I42" s="54" t="n">
        <x:f>100*B42/'Charts'!$AJ$7</x:f>
        <x:v>89.01893894835901</x:v>
      </x:c>
      <x:c r="J42" s="54" t="n">
        <x:f>100*C42/'Charts'!$AK$7</x:f>
        <x:v>82.2668773080832</x:v>
      </x:c>
    </x:row>
    <x:row r="43" ht="23" customHeight="1">
      <x:c r="A43" s="16" t="d">
        <x:v>1927-06-01T00:00:00.000Z</x:v>
      </x:c>
      <x:c r="B43" s="6" t="n">
        <x:v>1495.3</x:v>
      </x:c>
      <x:c r="C43" s="6" t="n">
        <x:v>1525.1</x:v>
      </x:c>
      <x:c r="D43" s="17" t="n">
        <x:f>B43-C43</x:f>
        <x:v>-29.799999999999955</x:v>
      </x:c>
      <x:c r="E43" s="52" t="n">
        <x:f>B43+C43</x:f>
        <x:v>3020.3999999999996</x:v>
      </x:c>
      <x:c r="F43" s="53" t="n">
        <x:f>100*B43/C43</x:f>
        <x:v>98.04602976853977</x:v>
      </x:c>
      <x:c r="G43" s="53" t="n">
        <x:f>100*(B43/SUMIFS($B$2:$B$181,$A$2:$A$181,EDATE(A43,-12))-1)</x:f>
        <x:v>27.683374605072153</x:v>
      </x:c>
      <x:c r="H43" s="53" t="n">
        <x:f>100*(C43/SUMIFS($C$2:$C$181,$A$2:$A$181,EDATE(A43,-12))-1)</x:f>
        <x:v>14.65193204029469</x:v>
      </x:c>
      <x:c r="I43" s="54" t="n">
        <x:f>100*B43/'Charts'!$AJ$7</x:f>
        <x:v>87.9484766498059</x:v>
      </x:c>
      <x:c r="J43" s="54" t="n">
        <x:f>100*C43/'Charts'!$AK$7</x:f>
        <x:v>92.07780315760876</x:v>
      </x:c>
    </x:row>
    <x:row r="44" ht="23" customHeight="1">
      <x:c r="A44" s="16" t="d">
        <x:v>1927-07-01T00:00:00.000Z</x:v>
      </x:c>
      <x:c r="B44" s="6" t="n">
        <x:v>1397.3</x:v>
      </x:c>
      <x:c r="C44" s="6" t="n">
        <x:v>1326.2</x:v>
      </x:c>
      <x:c r="D44" s="17" t="n">
        <x:f>B44-C44</x:f>
        <x:v>71.09999999999991</x:v>
      </x:c>
      <x:c r="E44" s="52" t="n">
        <x:f>B44+C44</x:f>
        <x:v>2723.5</x:v>
      </x:c>
      <x:c r="F44" s="53" t="n">
        <x:f>100*B44/C44</x:f>
        <x:v>105.3611823254411</x:v>
      </x:c>
      <x:c r="G44" s="53" t="n">
        <x:f>100*(B44/SUMIFS($B$2:$B$181,$A$2:$A$181,EDATE(A44,-12))-1)</x:f>
        <x:v>5.099661526889809</x:v>
      </x:c>
      <x:c r="H44" s="53" t="n">
        <x:f>100*(C44/SUMIFS($C$2:$C$181,$A$2:$A$181,EDATE(A44,-12))-1)</x:f>
        <x:v>13.807603192311003</x:v>
      </x:c>
      <x:c r="I44" s="54" t="n">
        <x:f>100*B44/'Charts'!$AJ$7</x:f>
        <x:v>82.18444888836608</x:v>
      </x:c>
      <x:c r="J44" s="54" t="n">
        <x:f>100*C44/'Charts'!$AK$7</x:f>
        <x:v>80.06922991778947</x:v>
      </x:c>
    </x:row>
    <x:row r="45" ht="23" customHeight="1">
      <x:c r="A45" s="16" t="d">
        <x:v>1927-08-01T00:00:00.000Z</x:v>
      </x:c>
      <x:c r="B45" s="6" t="n">
        <x:v>1572.1</x:v>
      </x:c>
      <x:c r="C45" s="6" t="n">
        <x:v>1576</x:v>
      </x:c>
      <x:c r="D45" s="17" t="n">
        <x:f>B45-C45</x:f>
        <x:v>-3.900000000000091</x:v>
      </x:c>
      <x:c r="E45" s="52" t="n">
        <x:f>B45+C45</x:f>
        <x:v>3148.1</x:v>
      </x:c>
      <x:c r="F45" s="53" t="n">
        <x:f>100*B45/C45</x:f>
        <x:v>99.75253807106598</x:v>
      </x:c>
      <x:c r="G45" s="53" t="n">
        <x:f>100*(B45/SUMIFS($B$2:$B$181,$A$2:$A$181,EDATE(A45,-12))-1)</x:f>
        <x:v>15.35808629292632</x:v>
      </x:c>
      <x:c r="H45" s="53" t="n">
        <x:f>100*(C45/SUMIFS($C$2:$C$181,$A$2:$A$181,EDATE(A45,-12))-1)</x:f>
        <x:v>71.37886037407569</x:v>
      </x:c>
      <x:c r="I45" s="54" t="n">
        <x:f>100*B45/'Charts'!$AJ$7</x:f>
        <x:v>92.46559228326079</x:v>
      </x:c>
      <x:c r="J45" s="54" t="n">
        <x:f>100*C45/'Charts'!$AK$7</x:f>
        <x:v>95.15088700832167</x:v>
      </x:c>
    </x:row>
    <x:row r="46" ht="23" customHeight="1">
      <x:c r="A46" s="16" t="d">
        <x:v>1927-09-01T00:00:00.000Z</x:v>
      </x:c>
      <x:c r="B46" s="6" t="n">
        <x:v>1921</x:v>
      </x:c>
      <x:c r="C46" s="6" t="n">
        <x:v>1501.9</x:v>
      </x:c>
      <x:c r="D46" s="17" t="n">
        <x:f>B46-C46</x:f>
        <x:v>419.0999999999999</x:v>
      </x:c>
      <x:c r="E46" s="52" t="n">
        <x:f>B46+C46</x:f>
        <x:v>3422.9</x:v>
      </x:c>
      <x:c r="F46" s="53" t="n">
        <x:f>100*B46/C46</x:f>
        <x:v>127.90465410480058</x:v>
      </x:c>
      <x:c r="G46" s="53" t="n">
        <x:f>100*(B46/SUMIFS($B$2:$B$181,$A$2:$A$181,EDATE(A46,-12))-1)</x:f>
        <x:v>30.096166869836118</x:v>
      </x:c>
      <x:c r="H46" s="53" t="n">
        <x:f>100*(C46/SUMIFS($C$2:$C$181,$A$2:$A$181,EDATE(A46,-12))-1)</x:f>
        <x:v>9.884401521802765</x:v>
      </x:c>
      <x:c r="I46" s="54" t="n">
        <x:f>100*B46/'Charts'!$AJ$7</x:f>
        <x:v>112.9867074461828</x:v>
      </x:c>
      <x:c r="J46" s="54" t="n">
        <x:f>100*C46/'Charts'!$AK$7</x:f>
        <x:v>90.67710482093803</x:v>
      </x:c>
    </x:row>
    <x:row r="47" ht="23" customHeight="1">
      <x:c r="A47" s="16" t="d">
        <x:v>1927-10-01T00:00:00.000Z</x:v>
      </x:c>
      <x:c r="B47" s="6" t="n">
        <x:v>2004.3</x:v>
      </x:c>
      <x:c r="C47" s="6" t="n">
        <x:v>1851.5</x:v>
      </x:c>
      <x:c r="D47" s="17" t="n">
        <x:f>B47-C47</x:f>
        <x:v>152.79999999999995</x:v>
      </x:c>
      <x:c r="E47" s="52" t="n">
        <x:f>B47+C47</x:f>
        <x:v>3855.8</x:v>
      </x:c>
      <x:c r="F47" s="53" t="n">
        <x:f>100*B47/C47</x:f>
        <x:v>108.25276802592492</x:v>
      </x:c>
      <x:c r="G47" s="53" t="n">
        <x:f>100*(B47/SUMIFS($B$2:$B$181,$A$2:$A$181,EDATE(A47,-12))-1)</x:f>
        <x:v>18.94955489614243</x:v>
      </x:c>
      <x:c r="H47" s="53" t="n">
        <x:f>100*(C47/SUMIFS($C$2:$C$181,$A$2:$A$181,EDATE(A47,-12))-1)</x:f>
        <x:v>37.67846519928615</x:v>
      </x:c>
      <x:c r="I47" s="54" t="n">
        <x:f>100*B47/'Charts'!$AJ$7</x:f>
        <x:v>117.88613104340665</x:v>
      </x:c>
      <x:c r="J47" s="54" t="n">
        <x:f>100*C47/'Charts'!$AK$7</x:f>
        <x:v>111.78417975628655</x:v>
      </x:c>
    </x:row>
    <x:row r="48" ht="23" customHeight="1">
      <x:c r="A48" s="16" t="d">
        <x:v>1927-11-01T00:00:00.000Z</x:v>
      </x:c>
      <x:c r="B48" s="6" t="n">
        <x:v>2096.7</x:v>
      </x:c>
      <x:c r="C48" s="6" t="n">
        <x:v>1746.2</x:v>
      </x:c>
      <x:c r="D48" s="17" t="n">
        <x:f>B48-C48</x:f>
        <x:v>350.4999999999998</x:v>
      </x:c>
      <x:c r="E48" s="52" t="n">
        <x:f>B48+C48</x:f>
        <x:v>3842.8999999999996</x:v>
      </x:c>
      <x:c r="F48" s="53" t="n">
        <x:f>100*B48/C48</x:f>
        <x:v>120.07215668308325</x:v>
      </x:c>
      <x:c r="G48" s="53" t="n">
        <x:f>100*(B48/SUMIFS($B$2:$B$181,$A$2:$A$181,EDATE(A48,-12))-1)</x:f>
        <x:v>-0.07625220416529466</x:v>
      </x:c>
      <x:c r="H48" s="53" t="n">
        <x:f>100*(C48/SUMIFS($C$2:$C$181,$A$2:$A$181,EDATE(A48,-12))-1)</x:f>
        <x:v>30.187131886975326</x:v>
      </x:c>
      <x:c r="I48" s="54" t="n">
        <x:f>100*B48/'Charts'!$AJ$7</x:f>
        <x:v>123.32078578990705</x:v>
      </x:c>
      <x:c r="J48" s="54" t="n">
        <x:f>100*C48/'Charts'!$AK$7</x:f>
        <x:v>105.42669980579399</x:v>
      </x:c>
    </x:row>
    <x:row r="49" ht="23" customHeight="1">
      <x:c r="A49" s="16" t="d">
        <x:v>1927-12-01T00:00:00.000Z</x:v>
      </x:c>
      <x:c r="B49" s="6" t="n">
        <x:v>2344</x:v>
      </x:c>
      <x:c r="C49" s="6" t="n">
        <x:v>2385.7</x:v>
      </x:c>
      <x:c r="D49" s="17" t="n">
        <x:f>B49-C49</x:f>
        <x:v>-41.69999999999982</x:v>
      </x:c>
      <x:c r="E49" s="52" t="n">
        <x:f>B49+C49</x:f>
        <x:v>4729.7</x:v>
      </x:c>
      <x:c r="F49" s="53" t="n">
        <x:f>100*B49/C49</x:f>
        <x:v>98.2520853418284</x:v>
      </x:c>
      <x:c r="G49" s="53" t="n">
        <x:f>100*(B49/SUMIFS($B$2:$B$181,$A$2:$A$181,EDATE(A49,-12))-1)</x:f>
        <x:v>23.012332721070592</x:v>
      </x:c>
      <x:c r="H49" s="53" t="n">
        <x:f>100*(C49/SUMIFS($C$2:$C$181,$A$2:$A$181,EDATE(A49,-12))-1)</x:f>
        <x:v>47.9687403088755</x:v>
      </x:c>
      <x:c r="I49" s="54" t="n">
        <x:f>100*B49/'Charts'!$AJ$7</x:f>
        <x:v>137.86613339607104</x:v>
      </x:c>
      <x:c r="J49" s="54" t="n">
        <x:f>100*C49/'Charts'!$AK$7</x:f>
        <x:v>144.03646645669608</x:v>
      </x:c>
    </x:row>
    <x:row r="50" ht="23" customHeight="1">
      <x:c r="A50" s="16" t="d">
        <x:v>1928-01-01T00:00:00.000Z</x:v>
      </x:c>
      <x:c r="B50" s="6" t="n">
        <x:v>1547</x:v>
      </x:c>
      <x:c r="C50" s="6" t="n">
        <x:v>1314.1</x:v>
      </x:c>
      <x:c r="D50" s="17" t="n">
        <x:f>B50-C50</x:f>
        <x:v>232.9000000000001</x:v>
      </x:c>
      <x:c r="E50" s="52" t="n">
        <x:f>B50+C50</x:f>
        <x:v>2861.1</x:v>
      </x:c>
      <x:c r="F50" s="53" t="n">
        <x:f>100*B50/C50</x:f>
        <x:v>117.72315653298837</x:v>
      </x:c>
      <x:c r="G50" s="53" t="n">
        <x:f>100*(B50/SUMIFS($B$2:$B$181,$A$2:$A$181,EDATE(A50,-12))-1)</x:f>
        <x:v>20.473483373569046</x:v>
      </x:c>
      <x:c r="H50" s="53" t="n">
        <x:f>100*(C50/SUMIFS($C$2:$C$181,$A$2:$A$181,EDATE(A50,-12))-1)</x:f>
        <x:v>48.08262246312302</x:v>
      </x:c>
      <x:c r="I50" s="54" t="n">
        <x:f>100*B50/'Charts'!$AJ$7</x:f>
        <x:v>90.98929537701447</x:v>
      </x:c>
      <x:c r="J50" s="54" t="n">
        <x:f>100*C50/'Charts'!$AK$7</x:f>
        <x:v>79.33869328530173</x:v>
      </x:c>
    </x:row>
    <x:row r="51" ht="23" customHeight="1">
      <x:c r="A51" s="16" t="d">
        <x:v>1928-02-01T00:00:00.000Z</x:v>
      </x:c>
      <x:c r="B51" s="6" t="n">
        <x:v>1483.8</x:v>
      </x:c>
      <x:c r="C51" s="6" t="n">
        <x:v>1490.1</x:v>
      </x:c>
      <x:c r="D51" s="17" t="n">
        <x:f>B51-C51</x:f>
        <x:v>-6.2999999999999545</x:v>
      </x:c>
      <x:c r="E51" s="52" t="n">
        <x:f>B51+C51</x:f>
        <x:v>2973.8999999999996</x:v>
      </x:c>
      <x:c r="F51" s="53" t="n">
        <x:f>100*B51/C51</x:f>
        <x:v>99.57720958324946</x:v>
      </x:c>
      <x:c r="G51" s="53" t="n">
        <x:f>100*(B51/SUMIFS($B$2:$B$181,$A$2:$A$181,EDATE(A51,-12))-1)</x:f>
        <x:v>4.368010128719124</x:v>
      </x:c>
      <x:c r="H51" s="53" t="n">
        <x:f>100*(C51/SUMIFS($C$2:$C$181,$A$2:$A$181,EDATE(A51,-12))-1)</x:f>
        <x:v>25.03985902492236</x:v>
      </x:c>
      <x:c r="I51" s="54" t="n">
        <x:f>100*B51/'Charts'!$AJ$7</x:f>
        <x:v>87.27208563698389</x:v>
      </x:c>
      <x:c r="J51" s="54" t="n">
        <x:f>100*C51/'Charts'!$AK$7</x:f>
        <x:v>89.96468066694172</x:v>
      </x:c>
    </x:row>
    <x:row r="52" ht="23" customHeight="1">
      <x:c r="A52" s="16" t="d">
        <x:v>1928-03-01T00:00:00.000Z</x:v>
      </x:c>
      <x:c r="B52" s="6" t="n">
        <x:v>1867.6</x:v>
      </x:c>
      <x:c r="C52" s="6" t="n">
        <x:v>1783.7</x:v>
      </x:c>
      <x:c r="D52" s="17" t="n">
        <x:f>B52-C52</x:f>
        <x:v>83.89999999999986</x:v>
      </x:c>
      <x:c r="E52" s="52" t="n">
        <x:f>B52+C52</x:f>
        <x:v>3651.3</x:v>
      </x:c>
      <x:c r="F52" s="53" t="n">
        <x:f>100*B52/C52</x:f>
        <x:v>104.70370578011998</x:v>
      </x:c>
      <x:c r="G52" s="53" t="n">
        <x:f>100*(B52/SUMIFS($B$2:$B$181,$A$2:$A$181,EDATE(A52,-12))-1)</x:f>
        <x:v>22.169163341401177</x:v>
      </x:c>
      <x:c r="H52" s="53" t="n">
        <x:f>100*(C52/SUMIFS($C$2:$C$181,$A$2:$A$181,EDATE(A52,-12))-1)</x:f>
        <x:v>36.50417081196908</x:v>
      </x:c>
      <x:c r="I52" s="54" t="n">
        <x:f>100*B52/'Charts'!$AJ$7</x:f>
        <x:v>109.8459004822962</x:v>
      </x:c>
      <x:c r="J52" s="54" t="n">
        <x:f>100*C52/'Charts'!$AK$7</x:f>
        <x:v>107.69075961722295</x:v>
      </x:c>
    </x:row>
    <x:row r="53" ht="23" customHeight="1">
      <x:c r="A53" s="16" t="d">
        <x:v>1928-04-01T00:00:00.000Z</x:v>
      </x:c>
      <x:c r="B53" s="6" t="n">
        <x:v>1664</x:v>
      </x:c>
      <x:c r="C53" s="6" t="n">
        <x:v>1472.4</x:v>
      </x:c>
      <x:c r="D53" s="17" t="n">
        <x:f>B53-C53</x:f>
        <x:v>191.5999999999999</x:v>
      </x:c>
      <x:c r="E53" s="52" t="n">
        <x:f>B53+C53</x:f>
        <x:v>3136.4</x:v>
      </x:c>
      <x:c r="F53" s="53" t="n">
        <x:f>100*B53/C53</x:f>
        <x:v>113.01276826949199</x:v>
      </x:c>
      <x:c r="G53" s="53" t="n">
        <x:f>100*(B53/SUMIFS($B$2:$B$181,$A$2:$A$181,EDATE(A53,-12))-1)</x:f>
        <x:v>8.418034923117013</x:v>
      </x:c>
      <x:c r="H53" s="53" t="n">
        <x:f>100*(C53/SUMIFS($C$2:$C$181,$A$2:$A$181,EDATE(A53,-12))-1)</x:f>
        <x:v>16.681195023377438</x:v>
      </x:c>
      <x:c r="I53" s="54" t="n">
        <x:f>100*B53/'Charts'!$AJ$7</x:f>
        <x:v>97.8708387248559</x:v>
      </x:c>
      <x:c r="J53" s="54" t="n">
        <x:f>100*C53/'Charts'!$AK$7</x:f>
        <x:v>88.89604443594723</x:v>
      </x:c>
    </x:row>
    <x:row r="54" ht="23" customHeight="1">
      <x:c r="A54" s="16" t="d">
        <x:v>1928-05-01T00:00:00.000Z</x:v>
      </x:c>
      <x:c r="B54" s="6" t="n">
        <x:v>1581.3</x:v>
      </x:c>
      <x:c r="C54" s="6" t="n">
        <x:v>1558.5</x:v>
      </x:c>
      <x:c r="D54" s="17" t="n">
        <x:f>B54-C54</x:f>
        <x:v>22.799999999999955</x:v>
      </x:c>
      <x:c r="E54" s="52" t="n">
        <x:f>B54+C54</x:f>
        <x:v>3139.8</x:v>
      </x:c>
      <x:c r="F54" s="53" t="n">
        <x:f>100*B54/C54</x:f>
        <x:v>101.46294513955726</x:v>
      </x:c>
      <x:c r="G54" s="53" t="n">
        <x:f>100*(B54/SUMIFS($B$2:$B$181,$A$2:$A$181,EDATE(A54,-12))-1)</x:f>
        <x:v>4.4796828543111955</x:v>
      </x:c>
      <x:c r="H54" s="53" t="n">
        <x:f>100*(C54/SUMIFS($C$2:$C$181,$A$2:$A$181,EDATE(A54,-12))-1)</x:f>
        <x:v>14.376926464112728</x:v>
      </x:c>
      <x:c r="I54" s="54" t="n">
        <x:f>100*B54/'Charts'!$AJ$7</x:f>
        <x:v>93.0067050935184</x:v>
      </x:c>
      <x:c r="J54" s="54" t="n">
        <x:f>100*C54/'Charts'!$AK$7</x:f>
        <x:v>94.09432576298816</x:v>
      </x:c>
    </x:row>
    <x:row r="55" ht="23" customHeight="1">
      <x:c r="A55" s="16" t="d">
        <x:v>1928-06-01T00:00:00.000Z</x:v>
      </x:c>
      <x:c r="B55" s="6" t="n">
        <x:v>1627.1</x:v>
      </x:c>
      <x:c r="C55" s="6" t="n">
        <x:v>1387</x:v>
      </x:c>
      <x:c r="D55" s="17" t="n">
        <x:f>B55-C55</x:f>
        <x:v>240.0999999999999</x:v>
      </x:c>
      <x:c r="E55" s="52" t="n">
        <x:f>B55+C55</x:f>
        <x:v>3014.1</x:v>
      </x:c>
      <x:c r="F55" s="53" t="n">
        <x:f>100*B55/C55</x:f>
        <x:v>117.31074260994953</x:v>
      </x:c>
      <x:c r="G55" s="53" t="n">
        <x:f>100*(B55/SUMIFS($B$2:$B$181,$A$2:$A$181,EDATE(A55,-12))-1)</x:f>
        <x:v>8.814284758911262</x:v>
      </x:c>
      <x:c r="H55" s="53" t="n">
        <x:f>100*(C55/SUMIFS($C$2:$C$181,$A$2:$A$181,EDATE(A55,-12))-1)</x:f>
        <x:v>-9.055143924988517</x:v>
      </x:c>
      <x:c r="I55" s="54" t="n">
        <x:f>100*B55/'Charts'!$AJ$7</x:f>
        <x:v>95.70050582284436</x:v>
      </x:c>
      <x:c r="J55" s="54" t="n">
        <x:f>100*C55/'Charts'!$AK$7</x:f>
        <x:v>83.74002555871965</x:v>
      </x:c>
    </x:row>
    <x:row r="56" ht="23" customHeight="1">
      <x:c r="A56" s="16" t="d">
        <x:v>1928-07-01T00:00:00.000Z</x:v>
      </x:c>
      <x:c r="B56" s="6" t="n">
        <x:v>1560.8</x:v>
      </x:c>
      <x:c r="C56" s="6" t="n">
        <x:v>1661.5</x:v>
      </x:c>
      <x:c r="D56" s="17" t="n">
        <x:f>B56-C56</x:f>
        <x:v>-100.70000000000005</x:v>
      </x:c>
      <x:c r="E56" s="52" t="n">
        <x:f>B56+C56</x:f>
        <x:v>3222.3</x:v>
      </x:c>
      <x:c r="F56" s="53" t="n">
        <x:f>100*B56/C56</x:f>
        <x:v>93.93921155582305</x:v>
      </x:c>
      <x:c r="G56" s="53" t="n">
        <x:f>100*(B56/SUMIFS($B$2:$B$181,$A$2:$A$181,EDATE(A56,-12))-1)</x:f>
        <x:v>11.701137908824165</x:v>
      </x:c>
      <x:c r="H56" s="53" t="n">
        <x:f>100*(C56/SUMIFS($C$2:$C$181,$A$2:$A$181,EDATE(A56,-12))-1)</x:f>
        <x:v>25.28276278087769</x:v>
      </x:c>
      <x:c r="I56" s="54" t="n">
        <x:f>100*B56/'Charts'!$AJ$7</x:f>
        <x:v>91.80096459240089</x:v>
      </x:c>
      <x:c r="J56" s="54" t="n">
        <x:f>100*C56/'Charts'!$AK$7</x:f>
        <x:v>100.31294337837974</x:v>
      </x:c>
    </x:row>
    <x:row r="57" ht="23" customHeight="1">
      <x:c r="A57" s="16" t="d">
        <x:v>1928-08-01T00:00:00.000Z</x:v>
      </x:c>
      <x:c r="B57" s="6" t="n">
        <x:v>1769.8</x:v>
      </x:c>
      <x:c r="C57" s="6" t="n">
        <x:v>1296.9</x:v>
      </x:c>
      <x:c r="D57" s="17" t="n">
        <x:f>B57-C57</x:f>
        <x:v>472.89999999999986</x:v>
      </x:c>
      <x:c r="E57" s="52" t="n">
        <x:f>B57+C57</x:f>
        <x:v>3066.7</x:v>
      </x:c>
      <x:c r="F57" s="53" t="n">
        <x:f>100*B57/C57</x:f>
        <x:v>136.4638753951731</x:v>
      </x:c>
      <x:c r="G57" s="53" t="n">
        <x:f>100*(B57/SUMIFS($B$2:$B$181,$A$2:$A$181,EDATE(A57,-12))-1)</x:f>
        <x:v>12.575535907385028</x:v>
      </x:c>
      <x:c r="H57" s="53" t="n">
        <x:f>100*(C57/SUMIFS($C$2:$C$181,$A$2:$A$181,EDATE(A57,-12))-1)</x:f>
        <x:v>-17.70939086294415</x:v>
      </x:c>
      <x:c r="I57" s="54" t="n">
        <x:f>100*B57/'Charts'!$AJ$7</x:f>
        <x:v>104.09363604281849</x:v>
      </x:c>
      <x:c r="J57" s="54" t="n">
        <x:f>100*C57/'Charts'!$AK$7</x:f>
        <x:v>78.30024451845965</x:v>
      </x:c>
    </x:row>
    <x:row r="58" ht="23" customHeight="1">
      <x:c r="A58" s="16" t="d">
        <x:v>1928-09-01T00:00:00.000Z</x:v>
      </x:c>
      <x:c r="B58" s="6" t="n">
        <x:v>1824.9</x:v>
      </x:c>
      <x:c r="C58" s="6" t="n">
        <x:v>1641.1</x:v>
      </x:c>
      <x:c r="D58" s="17" t="n">
        <x:f>B58-C58</x:f>
        <x:v>183.80000000000018</x:v>
      </x:c>
      <x:c r="E58" s="52" t="n">
        <x:f>B58+C58</x:f>
        <x:v>3466</x:v>
      </x:c>
      <x:c r="F58" s="53" t="n">
        <x:f>100*B58/C58</x:f>
        <x:v>111.19980500883554</x:v>
      </x:c>
      <x:c r="G58" s="53" t="n">
        <x:f>100*(B58/SUMIFS($B$2:$B$181,$A$2:$A$181,EDATE(A58,-12))-1)</x:f>
        <x:v>-5.002602811035917</x:v>
      </x:c>
      <x:c r="H58" s="53" t="n">
        <x:f>100*(C58/SUMIFS($C$2:$C$181,$A$2:$A$181,EDATE(A58,-12))-1)</x:f>
        <x:v>9.268260203741917</x:v>
      </x:c>
      <x:c r="I58" s="54" t="n">
        <x:f>100*B58/'Charts'!$AJ$7</x:f>
        <x:v>107.33443124338312</x:v>
      </x:c>
      <x:c r="J58" s="54" t="n">
        <x:f>100*C58/'Charts'!$AK$7</x:f>
        <x:v>99.08129484096239</x:v>
      </x:c>
    </x:row>
    <x:row r="59" ht="23" customHeight="1">
      <x:c r="A59" s="16" t="d">
        <x:v>1928-10-01T00:00:00.000Z</x:v>
      </x:c>
      <x:c r="B59" s="6" t="n">
        <x:v>2078.4</x:v>
      </x:c>
      <x:c r="C59" s="6" t="n">
        <x:v>1852.8</x:v>
      </x:c>
      <x:c r="D59" s="17" t="n">
        <x:f>B59-C59</x:f>
        <x:v>225.60000000000014</x:v>
      </x:c>
      <x:c r="E59" s="52" t="n">
        <x:f>B59+C59</x:f>
        <x:v>3931.2</x:v>
      </x:c>
      <x:c r="F59" s="53" t="n">
        <x:f>100*B59/C59</x:f>
        <x:v>112.17616580310882</x:v>
      </x:c>
      <x:c r="G59" s="53" t="n">
        <x:f>100*(B59/SUMIFS($B$2:$B$181,$A$2:$A$181,EDATE(A59,-12))-1)</x:f>
        <x:v>3.697051339619817</x:v>
      </x:c>
      <x:c r="H59" s="53" t="n">
        <x:f>100*(C59/SUMIFS($C$2:$C$181,$A$2:$A$181,EDATE(A59,-12))-1)</x:f>
        <x:v>0.07021334053469719</x:v>
      </x:c>
      <x:c r="I59" s="54" t="n">
        <x:f>100*B59/'Charts'!$AJ$7</x:f>
        <x:v>122.24444183037289</x:v>
      </x:c>
      <x:c r="J59" s="54" t="n">
        <x:f>100*C59/'Charts'!$AK$7</x:f>
        <x:v>111.86266716308275</x:v>
      </x:c>
    </x:row>
    <x:row r="60" ht="23" customHeight="1">
      <x:c r="A60" s="16" t="d">
        <x:v>1928-11-01T00:00:00.000Z</x:v>
      </x:c>
      <x:c r="B60" s="6" t="n">
        <x:v>2029.4</x:v>
      </x:c>
      <x:c r="C60" s="6" t="n">
        <x:v>1796.8</x:v>
      </x:c>
      <x:c r="D60" s="17" t="n">
        <x:f>B60-C60</x:f>
        <x:v>232.60000000000014</x:v>
      </x:c>
      <x:c r="E60" s="52" t="n">
        <x:f>B60+C60</x:f>
        <x:v>3826.2</x:v>
      </x:c>
      <x:c r="F60" s="53" t="n">
        <x:f>100*B60/C60</x:f>
        <x:v>112.9452359750668</x:v>
      </x:c>
      <x:c r="G60" s="53" t="n">
        <x:f>100*(B60/SUMIFS($B$2:$B$181,$A$2:$A$181,EDATE(A60,-12))-1)</x:f>
        <x:v>-3.20980588543901</x:v>
      </x:c>
      <x:c r="H60" s="53" t="n">
        <x:f>100*(C60/SUMIFS($C$2:$C$181,$A$2:$A$181,EDATE(A60,-12))-1)</x:f>
        <x:v>2.897720765089895</x:v>
      </x:c>
      <x:c r="I60" s="54" t="n">
        <x:f>100*B60/'Charts'!$AJ$7</x:f>
        <x:v>119.36242794965298</x:v>
      </x:c>
      <x:c r="J60" s="54" t="n">
        <x:f>100*C60/'Charts'!$AK$7</x:f>
        <x:v>108.48167117801547</x:v>
      </x:c>
    </x:row>
    <x:row r="61" ht="23" customHeight="1">
      <x:c r="A61" s="16" t="d">
        <x:v>1928-12-01T00:00:00.000Z</x:v>
      </x:c>
      <x:c r="B61" s="6" t="n">
        <x:v>2154.1</x:v>
      </x:c>
      <x:c r="C61" s="6" t="n">
        <x:v>1911.7</x:v>
      </x:c>
      <x:c r="D61" s="17" t="n">
        <x:f>B61-C61</x:f>
        <x:v>242.39999999999986</x:v>
      </x:c>
      <x:c r="E61" s="52" t="n">
        <x:f>B61+C61</x:f>
        <x:v>4065.8</x:v>
      </x:c>
      <x:c r="F61" s="53" t="n">
        <x:f>100*B61/C61</x:f>
        <x:v>112.6798137783125</x:v>
      </x:c>
      <x:c r="G61" s="53" t="n">
        <x:f>100*(B61/SUMIFS($B$2:$B$181,$A$2:$A$181,EDATE(A61,-12))-1)</x:f>
        <x:v>-8.101535836177476</x:v>
      </x:c>
      <x:c r="H61" s="53" t="n">
        <x:f>100*(C61/SUMIFS($C$2:$C$181,$A$2:$A$181,EDATE(A61,-12))-1)</x:f>
        <x:v>-19.868382445403853</x:v>
      </x:c>
      <x:c r="I61" s="54" t="n">
        <x:f>100*B61/'Charts'!$AJ$7</x:f>
        <x:v>126.6968591930361</x:v>
      </x:c>
      <x:c r="J61" s="54" t="n">
        <x:f>100*C61/'Charts'!$AK$7</x:f>
        <x:v>115.41875044023385</x:v>
      </x:c>
    </x:row>
    <x:row r="62" ht="23" customHeight="1">
      <x:c r="A62" s="16" t="d">
        <x:v>1929-01-01T00:00:00.000Z</x:v>
      </x:c>
      <x:c r="B62" s="6" t="n">
        <x:v>1403.1</x:v>
      </x:c>
      <x:c r="C62" s="6" t="n">
        <x:v>1699.1</x:v>
      </x:c>
      <x:c r="D62" s="17" t="n">
        <x:f>B62-C62</x:f>
        <x:v>-296</x:v>
      </x:c>
      <x:c r="E62" s="52" t="n">
        <x:f>B62+C62</x:f>
        <x:v>3102.2</x:v>
      </x:c>
      <x:c r="F62" s="53" t="n">
        <x:f>100*B62/C62</x:f>
        <x:v>82.57901241833912</x:v>
      </x:c>
      <x:c r="G62" s="53" t="n">
        <x:f>100*(B62/SUMIFS($B$2:$B$181,$A$2:$A$181,EDATE(A62,-12))-1)</x:f>
        <x:v>-9.301874595992254</x:v>
      </x:c>
      <x:c r="H62" s="53" t="n">
        <x:f>100*(C62/SUMIFS($C$2:$C$181,$A$2:$A$181,EDATE(A62,-12))-1)</x:f>
        <x:v>29.29761814169394</x:v>
      </x:c>
      <x:c r="I62" s="54" t="n">
        <x:f>100*B62/'Charts'!$AJ$7</x:f>
        <x:v>82.52558522526762</x:v>
      </x:c>
      <x:c r="J62" s="54" t="n">
        <x:f>100*C62/'Charts'!$AK$7</x:f>
        <x:v>102.5830406826392</x:v>
      </x:c>
    </x:row>
    <x:row r="63" ht="23" customHeight="1">
      <x:c r="A63" s="16" t="d">
        <x:v>1929-02-01T00:00:00.000Z</x:v>
      </x:c>
      <x:c r="B63" s="6" t="n">
        <x:v>1167.5</x:v>
      </x:c>
      <x:c r="C63" s="6" t="n">
        <x:v>1236.3</x:v>
      </x:c>
      <x:c r="D63" s="17" t="n">
        <x:f>B63-C63</x:f>
        <x:v>-68.79999999999995</x:v>
      </x:c>
      <x:c r="E63" s="52" t="n">
        <x:f>B63+C63</x:f>
        <x:v>2403.8</x:v>
      </x:c>
      <x:c r="F63" s="53" t="n">
        <x:f>100*B63/C63</x:f>
        <x:v>94.43500768421904</x:v>
      </x:c>
      <x:c r="G63" s="53" t="n">
        <x:f>100*(B63/SUMIFS($B$2:$B$181,$A$2:$A$181,EDATE(A63,-12))-1)</x:f>
        <x:v>-21.316889068607626</x:v>
      </x:c>
      <x:c r="H63" s="53" t="n">
        <x:f>100*(C63/SUMIFS($C$2:$C$181,$A$2:$A$181,EDATE(A63,-12))-1)</x:f>
        <x:v>-17.032413931950874</x:v>
      </x:c>
      <x:c r="I63" s="54" t="n">
        <x:f>100*B63/'Charts'!$AJ$7</x:f>
        <x:v>68.66839195388778</x:v>
      </x:c>
      <x:c r="J63" s="54" t="n">
        <x:f>100*C63/'Charts'!$AK$7</x:f>
        <x:v>74.64152386319041</x:v>
      </x:c>
    </x:row>
    <x:row r="64" ht="23" customHeight="1">
      <x:c r="A64" s="16" t="d">
        <x:v>1929-03-01T00:00:00.000Z</x:v>
      </x:c>
      <x:c r="B64" s="6" t="n">
        <x:v>1539.2</x:v>
      </x:c>
      <x:c r="C64" s="6" t="n">
        <x:v>1634.9</x:v>
      </x:c>
      <x:c r="D64" s="17" t="n">
        <x:f>B64-C64</x:f>
        <x:v>-95.70000000000005</x:v>
      </x:c>
      <x:c r="E64" s="52" t="n">
        <x:f>B64+C64</x:f>
        <x:v>3174.1000000000004</x:v>
      </x:c>
      <x:c r="F64" s="53" t="n">
        <x:f>100*B64/C64</x:f>
        <x:v>94.14643097437151</x:v>
      </x:c>
      <x:c r="G64" s="53" t="n">
        <x:f>100*(B64/SUMIFS($B$2:$B$181,$A$2:$A$181,EDATE(A64,-12))-1)</x:f>
        <x:v>-17.58406511030198</x:v>
      </x:c>
      <x:c r="H64" s="53" t="n">
        <x:f>100*(C64/SUMIFS($C$2:$C$181,$A$2:$A$181,EDATE(A64,-12))-1)</x:f>
        <x:v>-8.342210012894547</x:v>
      </x:c>
      <x:c r="I64" s="54" t="n">
        <x:f>100*B64/'Charts'!$AJ$7</x:f>
        <x:v>90.5305258204917</x:v>
      </x:c>
      <x:c r="J64" s="54" t="n">
        <x:f>100*C64/'Charts'!$AK$7</x:f>
        <x:v>98.70697028547279</x:v>
      </x:c>
    </x:row>
    <x:row r="65" ht="23" customHeight="1">
      <x:c r="A65" s="16" t="d">
        <x:v>1929-04-01T00:00:00.000Z</x:v>
      </x:c>
      <x:c r="B65" s="6" t="n">
        <x:v>1900.9</x:v>
      </x:c>
      <x:c r="C65" s="6" t="n">
        <x:v>1705.8</x:v>
      </x:c>
      <x:c r="D65" s="17" t="n">
        <x:f>B65-C65</x:f>
        <x:v>195.10000000000014</x:v>
      </x:c>
      <x:c r="E65" s="52" t="n">
        <x:f>B65+C65</x:f>
        <x:v>3606.7</x:v>
      </x:c>
      <x:c r="F65" s="53" t="n">
        <x:f>100*B65/C65</x:f>
        <x:v>111.43744870442022</x:v>
      </x:c>
      <x:c r="G65" s="53" t="n">
        <x:f>100*(B65/SUMIFS($B$2:$B$181,$A$2:$A$181,EDATE(A65,-12))-1)</x:f>
        <x:v>14.236778846153841</x:v>
      </x:c>
      <x:c r="H65" s="53" t="n">
        <x:f>100*(C65/SUMIFS($C$2:$C$181,$A$2:$A$181,EDATE(A65,-12))-1)</x:f>
        <x:v>15.851670741646284</x:v>
      </x:c>
      <x:c r="I65" s="54" t="n">
        <x:f>100*B65/'Charts'!$AJ$7</x:f>
        <x:v>111.80449358898953</x:v>
      </x:c>
      <x:c r="J65" s="54" t="n">
        <x:f>100*C65/'Charts'!$AK$7</x:f>
        <x:v>102.98755270228116</x:v>
      </x:c>
    </x:row>
    <x:row r="66" ht="23" customHeight="1">
      <x:c r="A66" s="16" t="d">
        <x:v>1929-05-01T00:00:00.000Z</x:v>
      </x:c>
      <x:c r="B66" s="6" t="n">
        <x:v>1595.6</x:v>
      </x:c>
      <x:c r="C66" s="6" t="n">
        <x:v>1850.5</x:v>
      </x:c>
      <x:c r="D66" s="17" t="n">
        <x:f>B66-C66</x:f>
        <x:v>-254.9000000000001</x:v>
      </x:c>
      <x:c r="E66" s="52" t="n">
        <x:f>B66+C66</x:f>
        <x:v>3446.1</x:v>
      </x:c>
      <x:c r="F66" s="53" t="n">
        <x:f>100*B66/C66</x:f>
        <x:v>86.22534450148609</x:v>
      </x:c>
      <x:c r="G66" s="53" t="n">
        <x:f>100*(B66/SUMIFS($B$2:$B$181,$A$2:$A$181,EDATE(A66,-12))-1)</x:f>
        <x:v>0.9043192310124626</x:v>
      </x:c>
      <x:c r="H66" s="53" t="n">
        <x:f>100*(C66/SUMIFS($C$2:$C$181,$A$2:$A$181,EDATE(A66,-12))-1)</x:f>
        <x:v>18.73596406801412</x:v>
      </x:c>
      <x:c r="I66" s="54" t="n">
        <x:f>100*B66/'Charts'!$AJ$7</x:f>
        <x:v>93.84778261381014</x:v>
      </x:c>
      <x:c r="J66" s="54" t="n">
        <x:f>100*C66/'Charts'!$AK$7</x:f>
        <x:v>111.72380482798177</x:v>
      </x:c>
    </x:row>
    <x:row r="67" ht="23" customHeight="1">
      <x:c r="A67" s="16" t="d">
        <x:v>1929-06-01T00:00:00.000Z</x:v>
      </x:c>
      <x:c r="B67" s="6" t="n">
        <x:v>1641.7</x:v>
      </x:c>
      <x:c r="C67" s="6" t="n">
        <x:v>1747.9</x:v>
      </x:c>
      <x:c r="D67" s="17" t="n">
        <x:f>B67-C67</x:f>
        <x:v>-106.20000000000005</x:v>
      </x:c>
      <x:c r="E67" s="52" t="n">
        <x:f>B67+C67</x:f>
        <x:v>3389.6000000000004</x:v>
      </x:c>
      <x:c r="F67" s="53" t="n">
        <x:f>100*B67/C67</x:f>
        <x:v>93.92413753647233</x:v>
      </x:c>
      <x:c r="G67" s="53" t="n">
        <x:f>100*(B67/SUMIFS($B$2:$B$181,$A$2:$A$181,EDATE(A67,-12))-1)</x:f>
        <x:v>0.8973019482515054</x:v>
      </x:c>
      <x:c r="H67" s="53" t="n">
        <x:f>100*(C67/SUMIFS($C$2:$C$181,$A$2:$A$181,EDATE(A67,-12))-1)</x:f>
        <x:v>26.020187454938725</x:v>
      </x:c>
      <x:c r="I67" s="54" t="n">
        <x:f>100*B67/'Charts'!$AJ$7</x:f>
        <x:v>96.55922832607928</x:v>
      </x:c>
      <x:c r="J67" s="54" t="n">
        <x:f>100*C67/'Charts'!$AK$7</x:f>
        <x:v>105.5293371839121</x:v>
      </x:c>
    </x:row>
    <x:row r="68" ht="23" customHeight="1">
      <x:c r="A68" s="16" t="d">
        <x:v>1929-07-01T00:00:00.000Z</x:v>
      </x:c>
      <x:c r="B68" s="6" t="n">
        <x:v>1622.5</x:v>
      </x:c>
      <x:c r="C68" s="6" t="n">
        <x:v>1699.4</x:v>
      </x:c>
      <x:c r="D68" s="17" t="n">
        <x:f>B68-C68</x:f>
        <x:v>-76.90000000000009</x:v>
      </x:c>
      <x:c r="E68" s="52" t="n">
        <x:f>B68+C68</x:f>
        <x:v>3321.9</x:v>
      </x:c>
      <x:c r="F68" s="53" t="n">
        <x:f>100*B68/C68</x:f>
        <x:v>95.47487348475933</x:v>
      </x:c>
      <x:c r="G68" s="53" t="n">
        <x:f>100*(B68/SUMIFS($B$2:$B$181,$A$2:$A$181,EDATE(A68,-12))-1)</x:f>
        <x:v>3.953100973859569</x:v>
      </x:c>
      <x:c r="H68" s="53" t="n">
        <x:f>100*(C68/SUMIFS($C$2:$C$181,$A$2:$A$181,EDATE(A68,-12))-1)</x:f>
        <x:v>2.281071321095407</x:v>
      </x:c>
      <x:c r="I68" s="54" t="n">
        <x:f>100*B68/'Charts'!$AJ$7</x:f>
        <x:v>95.42994941771556</x:v>
      </x:c>
      <x:c r="J68" s="54" t="n">
        <x:f>100*C68/'Charts'!$AK$7</x:f>
        <x:v>102.60115316113063</x:v>
      </x:c>
    </x:row>
    <x:row r="69" ht="23" customHeight="1">
      <x:c r="A69" s="16" t="d">
        <x:v>1929-08-01T00:00:00.000Z</x:v>
      </x:c>
      <x:c r="B69" s="6" t="n">
        <x:v>1755.3</x:v>
      </x:c>
      <x:c r="C69" s="6" t="n">
        <x:v>1541.3</x:v>
      </x:c>
      <x:c r="D69" s="17" t="n">
        <x:f>B69-C69</x:f>
        <x:v>214</x:v>
      </x:c>
      <x:c r="E69" s="52" t="n">
        <x:f>B69+C69</x:f>
        <x:v>3296.6</x:v>
      </x:c>
      <x:c r="F69" s="53" t="n">
        <x:f>100*B69/C69</x:f>
        <x:v>113.8843833127879</x:v>
      </x:c>
      <x:c r="G69" s="53" t="n">
        <x:f>100*(B69/SUMIFS($B$2:$B$181,$A$2:$A$181,EDATE(A69,-12))-1)</x:f>
        <x:v>-0.8193016160018107</x:v>
      </x:c>
      <x:c r="H69" s="53" t="n">
        <x:f>100*(C69/SUMIFS($C$2:$C$181,$A$2:$A$181,EDATE(A69,-12))-1)</x:f>
        <x:v>18.844937928907378</x:v>
      </x:c>
      <x:c r="I69" s="54" t="n">
        <x:f>100*B69/'Charts'!$AJ$7</x:f>
        <x:v>103.24079520056463</x:v>
      </x:c>
      <x:c r="J69" s="54" t="n">
        <x:f>100*C69/'Charts'!$AK$7</x:f>
        <x:v>93.05587699614607</x:v>
      </x:c>
    </x:row>
    <x:row r="70" ht="23" customHeight="1">
      <x:c r="A70" s="16" t="d">
        <x:v>1929-09-01T00:00:00.000Z</x:v>
      </x:c>
      <x:c r="B70" s="6" t="n">
        <x:v>1733.3</x:v>
      </x:c>
      <x:c r="C70" s="6" t="n">
        <x:v>1555.9</x:v>
      </x:c>
      <x:c r="D70" s="17" t="n">
        <x:f>B70-C70</x:f>
        <x:v>177.39999999999986</x:v>
      </x:c>
      <x:c r="E70" s="52" t="n">
        <x:f>B70+C70</x:f>
        <x:v>3289.2</x:v>
      </x:c>
      <x:c r="F70" s="53" t="n">
        <x:f>100*B70/C70</x:f>
        <x:v>111.40176103862716</x:v>
      </x:c>
      <x:c r="G70" s="53" t="n">
        <x:f>100*(B70/SUMIFS($B$2:$B$181,$A$2:$A$181,EDATE(A70,-12))-1)</x:f>
        <x:v>-5.019453120718953</x:v>
      </x:c>
      <x:c r="H70" s="53" t="n">
        <x:f>100*(C70/SUMIFS($C$2:$C$181,$A$2:$A$181,EDATE(A70,-12))-1)</x:f>
        <x:v>-5.19163975382364</x:v>
      </x:c>
      <x:c r="I70" s="54" t="n">
        <x:f>100*B70/'Charts'!$AJ$7</x:f>
        <x:v>101.94682978473121</x:v>
      </x:c>
      <x:c r="J70" s="54" t="n">
        <x:f>100*C70/'Charts'!$AK$7</x:f>
        <x:v>93.93735094939575</x:v>
      </x:c>
    </x:row>
    <x:row r="71" ht="23" customHeight="1">
      <x:c r="A71" s="16" t="d">
        <x:v>1929-10-01T00:00:00.000Z</x:v>
      </x:c>
      <x:c r="B71" s="6" t="n">
        <x:v>1907.3</x:v>
      </x:c>
      <x:c r="C71" s="6" t="n">
        <x:v>1619.8</x:v>
      </x:c>
      <x:c r="D71" s="17" t="n">
        <x:f>B71-C71</x:f>
        <x:v>287.5</x:v>
      </x:c>
      <x:c r="E71" s="52" t="n">
        <x:f>B71+C71</x:f>
        <x:v>3527.1</x:v>
      </x:c>
      <x:c r="F71" s="53" t="n">
        <x:f>100*B71/C71</x:f>
        <x:v>117.74910482775651</x:v>
      </x:c>
      <x:c r="G71" s="53" t="n">
        <x:f>100*(B71/SUMIFS($B$2:$B$181,$A$2:$A$181,EDATE(A71,-12))-1)</x:f>
        <x:v>-8.232294072363366</x:v>
      </x:c>
      <x:c r="H71" s="53" t="n">
        <x:f>100*(C71/SUMIFS($C$2:$C$181,$A$2:$A$181,EDATE(A71,-12))-1)</x:f>
        <x:v>-12.575561312607942</x:v>
      </x:c>
      <x:c r="I71" s="54" t="n">
        <x:f>100*B71/'Charts'!$AJ$7</x:f>
        <x:v>112.18091989177744</x:v>
      </x:c>
      <x:c r="J71" s="54" t="n">
        <x:f>100*C71/'Charts'!$AK$7</x:f>
        <x:v>97.79530886807072</x:v>
      </x:c>
    </x:row>
    <x:row r="72" ht="23" customHeight="1">
      <x:c r="A72" s="16" t="d">
        <x:v>1929-11-01T00:00:00.000Z</x:v>
      </x:c>
      <x:c r="B72" s="6" t="n">
        <x:v>1986.1</x:v>
      </x:c>
      <x:c r="C72" s="6" t="n">
        <x:v>1767.2</x:v>
      </x:c>
      <x:c r="D72" s="17" t="n">
        <x:f>B72-C72</x:f>
        <x:v>218.89999999999986</x:v>
      </x:c>
      <x:c r="E72" s="52" t="n">
        <x:f>B72+C72</x:f>
        <x:v>3753.3</x:v>
      </x:c>
      <x:c r="F72" s="53" t="n">
        <x:f>100*B72/C72</x:f>
        <x:v>112.38682661837936</x:v>
      </x:c>
      <x:c r="G72" s="53" t="n">
        <x:f>100*(B72/SUMIFS($B$2:$B$181,$A$2:$A$181,EDATE(A72,-12))-1)</x:f>
        <x:v>-2.1336355573075894</x:v>
      </x:c>
      <x:c r="H72" s="53" t="n">
        <x:f>100*(C72/SUMIFS($C$2:$C$181,$A$2:$A$181,EDATE(A72,-12))-1)</x:f>
        <x:v>-1.6473731077470966</x:v>
      </x:c>
      <x:c r="I72" s="54" t="n">
        <x:f>100*B72/'Charts'!$AJ$7</x:f>
        <x:v>116.81566874485354</x:v>
      </x:c>
      <x:c r="J72" s="54" t="n">
        <x:f>100*C72/'Charts'!$AK$7</x:f>
        <x:v>106.69457330019421</x:v>
      </x:c>
    </x:row>
    <x:row r="73" ht="23" customHeight="1">
      <x:c r="A73" s="16" t="d">
        <x:v>1929-12-01T00:00:00.000Z</x:v>
      </x:c>
      <x:c r="B73" s="6" t="n">
        <x:v>2149.9</x:v>
      </x:c>
      <x:c r="C73" s="6" t="n">
        <x:v>1817.7</x:v>
      </x:c>
      <x:c r="D73" s="17" t="n">
        <x:f>B73-C73</x:f>
        <x:v>332.20000000000005</x:v>
      </x:c>
      <x:c r="E73" s="52" t="n">
        <x:f>B73+C73</x:f>
        <x:v>3967.6000000000004</x:v>
      </x:c>
      <x:c r="F73" s="53" t="n">
        <x:f>100*B73/C73</x:f>
        <x:v>118.27584309842108</x:v>
      </x:c>
      <x:c r="G73" s="53" t="n">
        <x:f>100*(B73/SUMIFS($B$2:$B$181,$A$2:$A$181,EDATE(A73,-12))-1)</x:f>
        <x:v>-0.19497702056542332</x:v>
      </x:c>
      <x:c r="H73" s="53" t="n">
        <x:f>100*(C73/SUMIFS($C$2:$C$181,$A$2:$A$181,EDATE(A73,-12))-1)</x:f>
        <x:v>-4.917089501490823</x:v>
      </x:c>
      <x:c r="I73" s="54" t="n">
        <x:f>100*B73/'Charts'!$AJ$7</x:f>
        <x:v>126.44982943183155</x:v>
      </x:c>
      <x:c r="J73" s="54" t="n">
        <x:f>100*C73/'Charts'!$AK$7</x:f>
        <x:v>109.74350717958522</x:v>
      </x:c>
    </x:row>
    <x:row r="74" ht="23" customHeight="1">
      <x:c r="A74" s="16" t="d">
        <x:v>1930-01-01T00:00:00.000Z</x:v>
      </x:c>
      <x:c r="B74" s="6" t="n">
        <x:v>1482.7</x:v>
      </x:c>
      <x:c r="C74" s="6" t="n">
        <x:v>1366.5</x:v>
      </x:c>
      <x:c r="D74" s="17" t="n">
        <x:f>B74-C74</x:f>
        <x:v>116.20000000000005</x:v>
      </x:c>
      <x:c r="E74" s="52" t="n">
        <x:f>B74+C74</x:f>
        <x:v>2849.2</x:v>
      </x:c>
      <x:c r="F74" s="53" t="n">
        <x:f>100*B74/C74</x:f>
        <x:v>108.50347603366264</x:v>
      </x:c>
      <x:c r="G74" s="53" t="n">
        <x:f>100*(B74/SUMIFS($B$2:$B$181,$A$2:$A$181,EDATE(A74,-12))-1)</x:f>
        <x:v>5.673152305609008</x:v>
      </x:c>
      <x:c r="H74" s="53" t="n">
        <x:f>100*(C74/SUMIFS($C$2:$C$181,$A$2:$A$181,EDATE(A74,-12))-1)</x:f>
        <x:v>-19.57506915425813</x:v>
      </x:c>
      <x:c r="I74" s="54" t="n">
        <x:f>100*B74/'Charts'!$AJ$7</x:f>
        <x:v>87.20738736619221</x:v>
      </x:c>
      <x:c r="J74" s="54" t="n">
        <x:f>100*C74/'Charts'!$AK$7</x:f>
        <x:v>82.50233952847181</x:v>
      </x:c>
    </x:row>
    <x:row r="75" ht="23" customHeight="1">
      <x:c r="A75" s="16" t="d">
        <x:v>1930-02-01T00:00:00.000Z</x:v>
      </x:c>
      <x:c r="B75" s="6" t="n">
        <x:v>1335.5</x:v>
      </x:c>
      <x:c r="C75" s="6" t="n">
        <x:v>1223.9</x:v>
      </x:c>
      <x:c r="D75" s="17" t="n">
        <x:f>B75-C75</x:f>
        <x:v>111.59999999999991</x:v>
      </x:c>
      <x:c r="E75" s="52" t="n">
        <x:f>B75+C75</x:f>
        <x:v>2559.4</x:v>
      </x:c>
      <x:c r="F75" s="53" t="n">
        <x:f>100*B75/C75</x:f>
        <x:v>109.11839202549227</x:v>
      </x:c>
      <x:c r="G75" s="53" t="n">
        <x:f>100*(B75/SUMIFS($B$2:$B$181,$A$2:$A$181,EDATE(A75,-12))-1)</x:f>
        <x:v>14.389721627408992</x:v>
      </x:c>
      <x:c r="H75" s="53" t="n">
        <x:f>100*(C75/SUMIFS($C$2:$C$181,$A$2:$A$181,EDATE(A75,-12))-1)</x:f>
        <x:v>-1.0029928011000444</x:v>
      </x:c>
      <x:c r="I75" s="54" t="n">
        <x:f>100*B75/'Charts'!$AJ$7</x:f>
        <x:v>78.54958240207034</x:v>
      </x:c>
      <x:c r="J75" s="54" t="n">
        <x:f>100*C75/'Charts'!$AK$7</x:f>
        <x:v>73.89287475221124</x:v>
      </x:c>
    </x:row>
    <x:row r="76" ht="23" customHeight="1">
      <x:c r="A76" s="16" t="d">
        <x:v>1930-03-01T00:00:00.000Z</x:v>
      </x:c>
      <x:c r="B76" s="6" t="n">
        <x:v>1483.3</x:v>
      </x:c>
      <x:c r="C76" s="6" t="n">
        <x:v>1344.6</x:v>
      </x:c>
      <x:c r="D76" s="17" t="n">
        <x:f>B76-C76</x:f>
        <x:v>138.70000000000005</x:v>
      </x:c>
      <x:c r="E76" s="52" t="n">
        <x:f>B76+C76</x:f>
        <x:v>2827.8999999999996</x:v>
      </x:c>
      <x:c r="F76" s="53" t="n">
        <x:f>100*B76/C76</x:f>
        <x:v>110.31533541573702</x:v>
      </x:c>
      <x:c r="G76" s="53" t="n">
        <x:f>100*(B76/SUMIFS($B$2:$B$181,$A$2:$A$181,EDATE(A76,-12))-1)</x:f>
        <x:v>-3.6317567567567655</x:v>
      </x:c>
      <x:c r="H76" s="53" t="n">
        <x:f>100*(C76/SUMIFS($C$2:$C$181,$A$2:$A$181,EDATE(A76,-12))-1)</x:f>
        <x:v>-17.756437702611795</x:v>
      </x:c>
      <x:c r="I76" s="54" t="n">
        <x:f>100*B76/'Charts'!$AJ$7</x:f>
        <x:v>87.24267733207857</x:v>
      </x:c>
      <x:c r="J76" s="54" t="n">
        <x:f>100*C76/'Charts'!$AK$7</x:f>
        <x:v>81.18012859859729</x:v>
      </x:c>
    </x:row>
    <x:row r="77" ht="23" customHeight="1">
      <x:c r="A77" s="16" t="d">
        <x:v>1930-04-01T00:00:00.000Z</x:v>
      </x:c>
      <x:c r="B77" s="6" t="n">
        <x:v>1414.2</x:v>
      </x:c>
      <x:c r="C77" s="6" t="n">
        <x:v>1451</x:v>
      </x:c>
      <x:c r="D77" s="17" t="n">
        <x:f>B77-C77</x:f>
        <x:v>-36.799999999999955</x:v>
      </x:c>
      <x:c r="E77" s="52" t="n">
        <x:f>B77+C77</x:f>
        <x:v>2865.2</x:v>
      </x:c>
      <x:c r="F77" s="53" t="n">
        <x:f>100*B77/C77</x:f>
        <x:v>97.46381805651275</x:v>
      </x:c>
      <x:c r="G77" s="53" t="n">
        <x:f>100*(B77/SUMIFS($B$2:$B$181,$A$2:$A$181,EDATE(A77,-12))-1)</x:f>
        <x:v>-25.603661423536217</x:v>
      </x:c>
      <x:c r="H77" s="53" t="n">
        <x:f>100*(C77/SUMIFS($C$2:$C$181,$A$2:$A$181,EDATE(A77,-12))-1)</x:f>
        <x:v>-14.937272833860938</x:v>
      </x:c>
      <x:c r="I77" s="54" t="n">
        <x:f>100*B77/'Charts'!$AJ$7</x:f>
        <x:v>83.17844959416539</x:v>
      </x:c>
      <x:c r="J77" s="54" t="n">
        <x:f>100*C77/'Charts'!$AK$7</x:f>
        <x:v>87.60402097022511</x:v>
      </x:c>
    </x:row>
    <x:row r="78" ht="23" customHeight="1">
      <x:c r="A78" s="16" t="d">
        <x:v>1930-05-01T00:00:00.000Z</x:v>
      </x:c>
      <x:c r="B78" s="6" t="n">
        <x:v>1527.4</x:v>
      </x:c>
      <x:c r="C78" s="6" t="n">
        <x:v>1603</x:v>
      </x:c>
      <x:c r="D78" s="17" t="n">
        <x:f>B78-C78</x:f>
        <x:v>-75.59999999999991</x:v>
      </x:c>
      <x:c r="E78" s="52" t="n">
        <x:f>B78+C78</x:f>
        <x:v>3130.4</x:v>
      </x:c>
      <x:c r="F78" s="53" t="n">
        <x:f>100*B78/C78</x:f>
        <x:v>95.28384279475982</x:v>
      </x:c>
      <x:c r="G78" s="53" t="n">
        <x:f>100*(B78/SUMIFS($B$2:$B$181,$A$2:$A$181,EDATE(A78,-12))-1)</x:f>
        <x:v>-4.274254199047367</x:v>
      </x:c>
      <x:c r="H78" s="53" t="n">
        <x:f>100*(C78/SUMIFS($C$2:$C$181,$A$2:$A$181,EDATE(A78,-12))-1)</x:f>
        <x:v>-13.374763577411509</x:v>
      </x:c>
      <x:c r="I78" s="54" t="n">
        <x:f>100*B78/'Charts'!$AJ$7</x:f>
        <x:v>89.8364898247265</x:v>
      </x:c>
      <x:c r="J78" s="54" t="n">
        <x:f>100*C78/'Charts'!$AK$7</x:f>
        <x:v>96.78101007255054</x:v>
      </x:c>
    </x:row>
    <x:row r="79" ht="23" customHeight="1">
      <x:c r="A79" s="16" t="d">
        <x:v>1930-06-01T00:00:00.000Z</x:v>
      </x:c>
      <x:c r="B79" s="6" t="n">
        <x:v>1204.1</x:v>
      </x:c>
      <x:c r="C79" s="6" t="n">
        <x:v>1148.3</x:v>
      </x:c>
      <x:c r="D79" s="17" t="n">
        <x:f>B79-C79</x:f>
        <x:v>55.799999999999955</x:v>
      </x:c>
      <x:c r="E79" s="52" t="n">
        <x:f>B79+C79</x:f>
        <x:v>2352.3999999999996</x:v>
      </x:c>
      <x:c r="F79" s="53" t="n">
        <x:f>100*B79/C79</x:f>
        <x:v>104.85935731080727</x:v>
      </x:c>
      <x:c r="G79" s="53" t="n">
        <x:f>100*(B79/SUMIFS($B$2:$B$181,$A$2:$A$181,EDATE(A79,-12))-1)</x:f>
        <x:v>-26.65529633916064</x:v>
      </x:c>
      <x:c r="H79" s="53" t="n">
        <x:f>100*(C79/SUMIFS($C$2:$C$181,$A$2:$A$181,EDATE(A79,-12))-1)</x:f>
        <x:v>-34.30402196922021</x:v>
      </x:c>
      <x:c r="I79" s="54" t="n">
        <x:f>100*B79/'Charts'!$AJ$7</x:f>
        <x:v>70.82107987295612</x:v>
      </x:c>
      <x:c r="J79" s="54" t="n">
        <x:f>100*C79/'Charts'!$AK$7</x:f>
        <x:v>69.32853017237042</x:v>
      </x:c>
    </x:row>
    <x:row r="80" ht="23" customHeight="1">
      <x:c r="A80" s="16" t="d">
        <x:v>1930-07-01T00:00:00.000Z</x:v>
      </x:c>
      <x:c r="B80" s="6" t="n">
        <x:v>1422.3</x:v>
      </x:c>
      <x:c r="C80" s="6" t="n">
        <x:v>1209.1</x:v>
      </x:c>
      <x:c r="D80" s="17" t="n">
        <x:f>B80-C80</x:f>
        <x:v>213.20000000000005</x:v>
      </x:c>
      <x:c r="E80" s="52" t="n">
        <x:f>B80+C80</x:f>
        <x:v>2631.3999999999996</x:v>
      </x:c>
      <x:c r="F80" s="53" t="n">
        <x:f>100*B80/C80</x:f>
        <x:v>117.63295012819454</x:v>
      </x:c>
      <x:c r="G80" s="53" t="n">
        <x:f>100*(B80/SUMIFS($B$2:$B$181,$A$2:$A$181,EDATE(A80,-12))-1)</x:f>
        <x:v>-12.338983050847464</x:v>
      </x:c>
      <x:c r="H80" s="53" t="n">
        <x:f>100*(C80/SUMIFS($C$2:$C$181,$A$2:$A$181,EDATE(A80,-12))-1)</x:f>
        <x:v>-28.85135930328352</x:v>
      </x:c>
      <x:c r="I80" s="54" t="n">
        <x:f>100*B80/'Charts'!$AJ$7</x:f>
        <x:v>83.65486413363134</x:v>
      </x:c>
      <x:c r="J80" s="54" t="n">
        <x:f>100*C80/'Charts'!$AK$7</x:f>
        <x:v>72.99932581330059</x:v>
      </x:c>
    </x:row>
    <x:row r="81" ht="23" customHeight="1">
      <x:c r="A81" s="16" t="d">
        <x:v>1930-08-01T00:00:00.000Z</x:v>
      </x:c>
      <x:c r="B81" s="6" t="n">
        <x:v>1341.1</x:v>
      </x:c>
      <x:c r="C81" s="6" t="n">
        <x:v>1159.4</x:v>
      </x:c>
      <x:c r="D81" s="17" t="n">
        <x:f>B81-C81</x:f>
        <x:v>181.69999999999982</x:v>
      </x:c>
      <x:c r="E81" s="52" t="n">
        <x:f>B81+C81</x:f>
        <x:v>2500.5</x:v>
      </x:c>
      <x:c r="F81" s="53" t="n">
        <x:f>100*B81/C81</x:f>
        <x:v>115.671899258237</x:v>
      </x:c>
      <x:c r="G81" s="53" t="n">
        <x:f>100*(B81/SUMIFS($B$2:$B$181,$A$2:$A$181,EDATE(A81,-12))-1)</x:f>
        <x:v>-23.597105907822026</x:v>
      </x:c>
      <x:c r="H81" s="53" t="n">
        <x:f>100*(C81/SUMIFS($C$2:$C$181,$A$2:$A$181,EDATE(A81,-12))-1)</x:f>
        <x:v>-24.777784986699537</x:v>
      </x:c>
      <x:c r="I81" s="54" t="n">
        <x:f>100*B81/'Charts'!$AJ$7</x:f>
        <x:v>78.87895541700976</x:v>
      </x:c>
      <x:c r="J81" s="54" t="n">
        <x:f>100*C81/'Charts'!$AK$7</x:f>
        <x:v>69.99869187655341</x:v>
      </x:c>
    </x:row>
    <x:row r="82" ht="23" customHeight="1">
      <x:c r="A82" s="16" t="d">
        <x:v>1930-09-01T00:00:00.000Z</x:v>
      </x:c>
      <x:c r="B82" s="6" t="n">
        <x:v>1516.7</x:v>
      </x:c>
      <x:c r="C82" s="6" t="n">
        <x:v>1262.4</x:v>
      </x:c>
      <x:c r="D82" s="17" t="n">
        <x:f>B82-C82</x:f>
        <x:v>254.29999999999995</x:v>
      </x:c>
      <x:c r="E82" s="52" t="n">
        <x:f>B82+C82</x:f>
        <x:v>2779.1000000000004</x:v>
      </x:c>
      <x:c r="F82" s="53" t="n">
        <x:f>100*B82/C82</x:f>
        <x:v>120.14416983523446</x:v>
      </x:c>
      <x:c r="G82" s="53" t="n">
        <x:f>100*(B82/SUMIFS($B$2:$B$181,$A$2:$A$181,EDATE(A82,-12))-1)</x:f>
        <x:v>-12.496394161426172</x:v>
      </x:c>
      <x:c r="H82" s="53" t="n">
        <x:f>100*(C82/SUMIFS($C$2:$C$181,$A$2:$A$181,EDATE(A82,-12))-1)</x:f>
        <x:v>-18.86368018510187</x:v>
      </x:c>
      <x:c r="I82" s="54" t="n">
        <x:f>100*B82/'Charts'!$AJ$7</x:f>
        <x:v>89.20715209975297</x:v>
      </x:c>
      <x:c r="J82" s="54" t="n">
        <x:f>100*C82/'Charts'!$AK$7</x:f>
        <x:v>76.21730949194499</x:v>
      </x:c>
    </x:row>
    <x:row r="83" ht="23" customHeight="1">
      <x:c r="A83" s="16" t="d">
        <x:v>1930-10-01T00:00:00.000Z</x:v>
      </x:c>
      <x:c r="B83" s="6" t="n">
        <x:v>1699.8</x:v>
      </x:c>
      <x:c r="C83" s="6" t="n">
        <x:v>1260</x:v>
      </x:c>
      <x:c r="D83" s="17" t="n">
        <x:f>B83-C83</x:f>
        <x:v>439.79999999999995</x:v>
      </x:c>
      <x:c r="E83" s="52" t="n">
        <x:f>B83+C83</x:f>
        <x:v>2959.8</x:v>
      </x:c>
      <x:c r="F83" s="53" t="n">
        <x:f>100*B83/C83</x:f>
        <x:v>134.9047619047619</x:v>
      </x:c>
      <x:c r="G83" s="53" t="n">
        <x:f>100*(B83/SUMIFS($B$2:$B$181,$A$2:$A$181,EDATE(A83,-12))-1)</x:f>
        <x:v>-10.879253394851363</x:v>
      </x:c>
      <x:c r="H83" s="53" t="n">
        <x:f>100*(C83/SUMIFS($C$2:$C$181,$A$2:$A$181,EDATE(A83,-12))-1)</x:f>
        <x:v>-22.21261884183232</x:v>
      </x:c>
      <x:c r="I83" s="54" t="n">
        <x:f>100*B83/'Charts'!$AJ$7</x:f>
        <x:v>99.97647335607576</x:v>
      </x:c>
      <x:c r="J83" s="54" t="n">
        <x:f>100*C83/'Charts'!$AK$7</x:f>
        <x:v>76.07240966401352</x:v>
      </x:c>
    </x:row>
    <x:row r="84" ht="23" customHeight="1">
      <x:c r="A84" s="16" t="d">
        <x:v>1930-11-01T00:00:00.000Z</x:v>
      </x:c>
      <x:c r="B84" s="6" t="n">
        <x:v>1607.6</x:v>
      </x:c>
      <x:c r="C84" s="6" t="n">
        <x:v>1371.3</x:v>
      </x:c>
      <x:c r="D84" s="17" t="n">
        <x:f>B84-C84</x:f>
        <x:v>236.29999999999995</x:v>
      </x:c>
      <x:c r="E84" s="52" t="n">
        <x:f>B84+C84</x:f>
        <x:v>2978.8999999999996</x:v>
      </x:c>
      <x:c r="F84" s="53" t="n">
        <x:f>100*B84/C84</x:f>
        <x:v>117.23182381681616</x:v>
      </x:c>
      <x:c r="G84" s="53" t="n">
        <x:f>100*(B84/SUMIFS($B$2:$B$181,$A$2:$A$181,EDATE(A84,-12))-1)</x:f>
        <x:v>-19.057449272443485</x:v>
      </x:c>
      <x:c r="H84" s="53" t="n">
        <x:f>100*(C84/SUMIFS($C$2:$C$181,$A$2:$A$181,EDATE(A84,-12))-1)</x:f>
        <x:v>-22.402670891806252</x:v>
      </x:c>
      <x:c r="I84" s="54" t="n">
        <x:f>100*B84/'Charts'!$AJ$7</x:f>
        <x:v>94.55358193153747</x:v>
      </x:c>
      <x:c r="J84" s="54" t="n">
        <x:f>100*C84/'Charts'!$AK$7</x:f>
        <x:v>82.79213918433472</x:v>
      </x:c>
    </x:row>
    <x:row r="85" ht="23" customHeight="1">
      <x:c r="A85" s="16" t="d">
        <x:v>1930-12-01T00:00:00.000Z</x:v>
      </x:c>
      <x:c r="B85" s="6" t="n">
        <x:v>1443.7</x:v>
      </x:c>
      <x:c r="C85" s="6" t="n">
        <x:v>1283.3</x:v>
      </x:c>
      <x:c r="D85" s="17" t="n">
        <x:f>B85-C85</x:f>
        <x:v>160.4000000000001</x:v>
      </x:c>
      <x:c r="E85" s="52" t="n">
        <x:f>B85+C85</x:f>
        <x:v>2727</x:v>
      </x:c>
      <x:c r="F85" s="53" t="n">
        <x:f>100*B85/C85</x:f>
        <x:v>112.49902594872594</x:v>
      </x:c>
      <x:c r="G85" s="53" t="n">
        <x:f>100*(B85/SUMIFS($B$2:$B$181,$A$2:$A$181,EDATE(A85,-12))-1)</x:f>
        <x:v>-32.84803944369506</x:v>
      </x:c>
      <x:c r="H85" s="53" t="n">
        <x:f>100*(C85/SUMIFS($C$2:$C$181,$A$2:$A$181,EDATE(A85,-12))-1)</x:f>
        <x:v>-29.399790944600323</x:v>
      </x:c>
      <x:c r="I85" s="54" t="n">
        <x:f>100*B85/'Charts'!$AJ$7</x:f>
        <x:v>84.9135395835784</x:v>
      </x:c>
      <x:c r="J85" s="54" t="n">
        <x:f>100*C85/'Charts'!$AK$7</x:f>
        <x:v>77.47914549351474</x:v>
      </x:c>
    </x:row>
    <x:row r="86" ht="23" customHeight="1">
      <x:c r="A86" s="16" t="d">
        <x:v>1931-01-01T00:00:00.000Z</x:v>
      </x:c>
      <x:c r="B86" s="6" t="n">
        <x:v>998.3</x:v>
      </x:c>
      <x:c r="C86" s="6" t="n">
        <x:v>880.4</x:v>
      </x:c>
      <x:c r="D86" s="17" t="n">
        <x:f>B86-C86</x:f>
        <x:v>117.89999999999998</x:v>
      </x:c>
      <x:c r="E86" s="52" t="n">
        <x:f>B86+C86</x:f>
        <x:v>1878.6999999999998</x:v>
      </x:c>
      <x:c r="F86" s="53" t="n">
        <x:f>100*B86/C86</x:f>
        <x:v>113.39164016356202</x:v>
      </x:c>
      <x:c r="G86" s="53" t="n">
        <x:f>100*(B86/SUMIFS($B$2:$B$181,$A$2:$A$181,EDATE(A86,-12))-1)</x:f>
        <x:v>-32.67012881904634</x:v>
      </x:c>
      <x:c r="H86" s="53" t="n">
        <x:f>100*(C86/SUMIFS($C$2:$C$181,$A$2:$A$181,EDATE(A86,-12))-1)</x:f>
        <x:v>-35.572630808635196</x:v>
      </x:c>
      <x:c r="I86" s="54" t="n">
        <x:f>100*B86/'Charts'!$AJ$7</x:f>
        <x:v>58.71662157393248</x:v>
      </x:c>
      <x:c r="J86" s="54" t="n">
        <x:f>100*C86/'Charts'!$AK$7</x:f>
        <x:v>53.154086879521834</x:v>
      </x:c>
    </x:row>
    <x:row r="87" ht="23" customHeight="1">
      <x:c r="A87" s="16" t="d">
        <x:v>1931-02-01T00:00:00.000Z</x:v>
      </x:c>
      <x:c r="B87" s="6" t="n">
        <x:v>1001</x:v>
      </x:c>
      <x:c r="C87" s="6" t="n">
        <x:v>841.8</x:v>
      </x:c>
      <x:c r="D87" s="17" t="n">
        <x:f>B87-C87</x:f>
        <x:v>159.20000000000005</x:v>
      </x:c>
      <x:c r="E87" s="52" t="n">
        <x:f>B87+C87</x:f>
        <x:v>1842.8</x:v>
      </x:c>
      <x:c r="F87" s="53" t="n">
        <x:f>100*B87/C87</x:f>
        <x:v>118.91185554763602</x:v>
      </x:c>
      <x:c r="G87" s="53" t="n">
        <x:f>100*(B87/SUMIFS($B$2:$B$181,$A$2:$A$181,EDATE(A87,-12))-1)</x:f>
        <x:v>-25.046798951703487</x:v>
      </x:c>
      <x:c r="H87" s="53" t="n">
        <x:f>100*(C87/SUMIFS($C$2:$C$181,$A$2:$A$181,EDATE(A87,-12))-1)</x:f>
        <x:v>-31.21987090448567</x:v>
      </x:c>
      <x:c r="I87" s="54" t="n">
        <x:f>100*B87/'Charts'!$AJ$7</x:f>
        <x:v>58.87542642042113</x:v>
      </x:c>
      <x:c r="J87" s="54" t="n">
        <x:f>100*C87/'Charts'!$AK$7</x:f>
        <x:v>50.82361464695761</x:v>
      </x:c>
    </x:row>
    <x:row r="88" ht="23" customHeight="1">
      <x:c r="A88" s="16" t="d">
        <x:v>1931-03-01T00:00:00.000Z</x:v>
      </x:c>
      <x:c r="B88" s="6" t="n">
        <x:v>1082.9</x:v>
      </x:c>
      <x:c r="C88" s="6" t="n">
        <x:v>877.6</x:v>
      </x:c>
      <x:c r="D88" s="17" t="n">
        <x:f>B88-C88</x:f>
        <x:v>205.30000000000007</x:v>
      </x:c>
      <x:c r="E88" s="52" t="n">
        <x:f>B88+C88</x:f>
        <x:v>1960.5</x:v>
      </x:c>
      <x:c r="F88" s="53" t="n">
        <x:f>100*B88/C88</x:f>
        <x:v>123.39334548769372</x:v>
      </x:c>
      <x:c r="G88" s="53" t="n">
        <x:f>100*(B88/SUMIFS($B$2:$B$181,$A$2:$A$181,EDATE(A88,-12))-1)</x:f>
        <x:v>-26.993865030674836</x:v>
      </x:c>
      <x:c r="H88" s="53" t="n">
        <x:f>100*(C88/SUMIFS($C$2:$C$181,$A$2:$A$181,EDATE(A88,-12))-1)</x:f>
        <x:v>-34.73151866726163</x:v>
      </x:c>
      <x:c r="I88" s="54" t="n">
        <x:f>100*B88/'Charts'!$AJ$7</x:f>
        <x:v>63.69250676391014</x:v>
      </x:c>
      <x:c r="J88" s="54" t="n">
        <x:f>100*C88/'Charts'!$AK$7</x:f>
        <x:v>52.98503708026847</x:v>
      </x:c>
    </x:row>
    <x:row r="89" ht="23" customHeight="1">
      <x:c r="A89" s="16" t="d">
        <x:v>1931-04-01T00:00:00.000Z</x:v>
      </x:c>
      <x:c r="B89" s="6" t="n">
        <x:v>1166.9</x:v>
      </x:c>
      <x:c r="C89" s="6" t="n">
        <x:v>1003.7</x:v>
      </x:c>
      <x:c r="D89" s="17" t="n">
        <x:f>B89-C89</x:f>
        <x:v>163.20000000000005</x:v>
      </x:c>
      <x:c r="E89" s="52" t="n">
        <x:f>B89+C89</x:f>
        <x:v>2170.6000000000004</x:v>
      </x:c>
      <x:c r="F89" s="53" t="n">
        <x:f>100*B89/C89</x:f>
        <x:v>116.25983859719041</x:v>
      </x:c>
      <x:c r="G89" s="53" t="n">
        <x:f>100*(B89/SUMIFS($B$2:$B$181,$A$2:$A$181,EDATE(A89,-12))-1)</x:f>
        <x:v>-17.486918399094886</x:v>
      </x:c>
      <x:c r="H89" s="53" t="n">
        <x:f>100*(C89/SUMIFS($C$2:$C$181,$A$2:$A$181,EDATE(A89,-12))-1)</x:f>
        <x:v>-30.82701585113714</x:v>
      </x:c>
      <x:c r="I89" s="54" t="n">
        <x:f>100*B89/'Charts'!$AJ$7</x:f>
        <x:v>68.63310198800141</x:v>
      </x:c>
      <x:c r="J89" s="54" t="n">
        <x:f>100*C89/'Charts'!$AK$7</x:f>
        <x:v>60.5983155395003</x:v>
      </x:c>
    </x:row>
    <x:row r="90" ht="23" customHeight="1">
      <x:c r="A90" s="16" t="d">
        <x:v>1931-05-01T00:00:00.000Z</x:v>
      </x:c>
      <x:c r="B90" s="6" t="n">
        <x:v>1093.6</x:v>
      </x:c>
      <x:c r="C90" s="6" t="n">
        <x:v>952.1</x:v>
      </x:c>
      <x:c r="D90" s="17" t="n">
        <x:f>B90-C90</x:f>
        <x:v>141.4999999999999</x:v>
      </x:c>
      <x:c r="E90" s="52" t="n">
        <x:f>B90+C90</x:f>
        <x:v>2045.6999999999998</x:v>
      </x:c>
      <x:c r="F90" s="53" t="n">
        <x:f>100*B90/C90</x:f>
        <x:v>114.86188425585546</x:v>
      </x:c>
      <x:c r="G90" s="53" t="n">
        <x:f>100*(B90/SUMIFS($B$2:$B$181,$A$2:$A$181,EDATE(A90,-12))-1)</x:f>
        <x:v>-28.40120466151631</x:v>
      </x:c>
      <x:c r="H90" s="53" t="n">
        <x:f>100*(C90/SUMIFS($C$2:$C$181,$A$2:$A$181,EDATE(A90,-12))-1)</x:f>
        <x:v>-40.60511540860886</x:v>
      </x:c>
      <x:c r="I90" s="54" t="n">
        <x:f>100*B90/'Charts'!$AJ$7</x:f>
        <x:v>64.32184448888366</x:v>
      </x:c>
      <x:c r="J90" s="54" t="n">
        <x:f>100*C90/'Charts'!$AK$7</x:f>
        <x:v>57.48296923897403</x:v>
      </x:c>
    </x:row>
    <x:row r="91" ht="23" customHeight="1">
      <x:c r="A91" s="16" t="d">
        <x:v>1931-06-01T00:00:00.000Z</x:v>
      </x:c>
      <x:c r="B91" s="6" t="n">
        <x:v>1036</x:v>
      </x:c>
      <x:c r="C91" s="6" t="n">
        <x:v>975.9</x:v>
      </x:c>
      <x:c r="D91" s="17" t="n">
        <x:f>B91-C91</x:f>
        <x:v>60.10000000000002</x:v>
      </x:c>
      <x:c r="E91" s="52" t="n">
        <x:f>B91+C91</x:f>
        <x:v>2011.9</x:v>
      </x:c>
      <x:c r="F91" s="53" t="n">
        <x:f>100*B91/C91</x:f>
        <x:v>106.15841787068348</x:v>
      </x:c>
      <x:c r="G91" s="53" t="n">
        <x:f>100*(B91/SUMIFS($B$2:$B$181,$A$2:$A$181,EDATE(A91,-12))-1)</x:f>
        <x:v>-13.960634498795777</x:v>
      </x:c>
      <x:c r="H91" s="53" t="n">
        <x:f>100*(C91/SUMIFS($C$2:$C$181,$A$2:$A$181,EDATE(A91,-12))-1)</x:f>
        <x:v>-15.013498214752241</x:v>
      </x:c>
      <x:c r="I91" s="54" t="n">
        <x:f>100*B91/'Charts'!$AJ$7</x:f>
        <x:v>60.93400776379249</x:v>
      </x:c>
      <x:c r="J91" s="54" t="n">
        <x:f>100*C91/'Charts'!$AK$7</x:f>
        <x:v>58.91989253262762</x:v>
      </x:c>
    </x:row>
    <x:row r="92" ht="23" customHeight="1">
      <x:c r="A92" s="16" t="d">
        <x:v>1931-07-01T00:00:00.000Z</x:v>
      </x:c>
      <x:c r="B92" s="6" t="n">
        <x:v>1099.3</x:v>
      </x:c>
      <x:c r="C92" s="6" t="n">
        <x:v>1010.2</x:v>
      </x:c>
      <x:c r="D92" s="17" t="n">
        <x:f>B92-C92</x:f>
        <x:v>89.09999999999991</x:v>
      </x:c>
      <x:c r="E92" s="52" t="n">
        <x:f>B92+C92</x:f>
        <x:v>2109.5</x:v>
      </x:c>
      <x:c r="F92" s="53" t="n">
        <x:f>100*B92/C92</x:f>
        <x:v>108.82003563650761</x:v>
      </x:c>
      <x:c r="G92" s="53" t="n">
        <x:f>100*(B92/SUMIFS($B$2:$B$181,$A$2:$A$181,EDATE(A92,-12))-1)</x:f>
        <x:v>-22.70969556352387</x:v>
      </x:c>
      <x:c r="H92" s="53" t="n">
        <x:f>100*(C92/SUMIFS($C$2:$C$181,$A$2:$A$181,EDATE(A92,-12))-1)</x:f>
        <x:v>-16.45025225374245</x:v>
      </x:c>
      <x:c r="I92" s="54" t="n">
        <x:f>100*B92/'Charts'!$AJ$7</x:f>
        <x:v>64.65709916480414</x:v>
      </x:c>
      <x:c r="J92" s="54" t="n">
        <x:f>100*C92/'Charts'!$AK$7</x:f>
        <x:v>60.99075257348132</x:v>
      </x:c>
    </x:row>
    <x:row r="93" ht="23" customHeight="1">
      <x:c r="A93" s="16" t="d">
        <x:v>1931-08-01T00:00:00.000Z</x:v>
      </x:c>
      <x:c r="B93" s="6" t="n">
        <x:v>1070.1</x:v>
      </x:c>
      <x:c r="C93" s="6" t="n">
        <x:v>915.9</x:v>
      </x:c>
      <x:c r="D93" s="17" t="n">
        <x:f>B93-C93</x:f>
        <x:v>154.19999999999993</x:v>
      </x:c>
      <x:c r="E93" s="52" t="n">
        <x:f>B93+C93</x:f>
        <x:v>1986</x:v>
      </x:c>
      <x:c r="F93" s="53" t="n">
        <x:f>100*B93/C93</x:f>
        <x:v>116.83589911562396</x:v>
      </x:c>
      <x:c r="G93" s="53" t="n">
        <x:f>100*(B93/SUMIFS($B$2:$B$181,$A$2:$A$181,EDATE(A93,-12))-1)</x:f>
        <x:v>-20.2072925210648</x:v>
      </x:c>
      <x:c r="H93" s="53" t="n">
        <x:f>100*(C93/SUMIFS($C$2:$C$181,$A$2:$A$181,EDATE(A93,-12))-1)</x:f>
        <x:v>-21.002242539244442</x:v>
      </x:c>
      <x:c r="I93" s="54" t="n">
        <x:f>100*B93/'Charts'!$AJ$7</x:f>
        <x:v>62.93965415833431</x:v>
      </x:c>
      <x:c r="J93" s="54" t="n">
        <x:f>100*C93/'Charts'!$AK$7</x:f>
        <x:v>55.297396834341264</x:v>
      </x:c>
    </x:row>
    <x:row r="94" ht="23" customHeight="1">
      <x:c r="A94" s="16" t="d">
        <x:v>1931-09-01T00:00:00.000Z</x:v>
      </x:c>
      <x:c r="B94" s="6" t="n">
        <x:v>1149.4</x:v>
      </x:c>
      <x:c r="C94" s="6" t="n">
        <x:v>933.2</x:v>
      </x:c>
      <x:c r="D94" s="17" t="n">
        <x:f>B94-C94</x:f>
        <x:v>216.20000000000005</x:v>
      </x:c>
      <x:c r="E94" s="52" t="n">
        <x:f>B94+C94</x:f>
        <x:v>2082.6000000000004</x:v>
      </x:c>
      <x:c r="F94" s="53" t="n">
        <x:f>100*B94/C94</x:f>
        <x:v>123.16759537076726</x:v>
      </x:c>
      <x:c r="G94" s="53" t="n">
        <x:f>100*(B94/SUMIFS($B$2:$B$181,$A$2:$A$181,EDATE(A94,-12))-1)</x:f>
        <x:v>-24.217050174721432</x:v>
      </x:c>
      <x:c r="H94" s="53" t="n">
        <x:f>100*(C94/SUMIFS($C$2:$C$181,$A$2:$A$181,EDATE(A94,-12))-1)</x:f>
        <x:v>-26.077313054499363</x:v>
      </x:c>
      <x:c r="I94" s="54" t="n">
        <x:f>100*B94/'Charts'!$AJ$7</x:f>
        <x:v>67.60381131631573</x:v>
      </x:c>
      <x:c r="J94" s="54" t="n">
        <x:f>100*C94/'Charts'!$AK$7</x:f>
        <x:v>56.34188309401383</x:v>
      </x:c>
    </x:row>
    <x:row r="95" ht="23" customHeight="1">
      <x:c r="A95" s="16" t="d">
        <x:v>1931-10-01T00:00:00.000Z</x:v>
      </x:c>
      <x:c r="B95" s="6" t="n">
        <x:v>1159.5</x:v>
      </x:c>
      <x:c r="C95" s="6" t="n">
        <x:v>1093.9</x:v>
      </x:c>
      <x:c r="D95" s="17" t="n">
        <x:f>B95-C95</x:f>
        <x:v>65.59999999999991</x:v>
      </x:c>
      <x:c r="E95" s="52" t="n">
        <x:f>B95+C95</x:f>
        <x:v>2253.4</x:v>
      </x:c>
      <x:c r="F95" s="53" t="n">
        <x:f>100*B95/C95</x:f>
        <x:v>105.99689185483133</x:v>
      </x:c>
      <x:c r="G95" s="53" t="n">
        <x:f>100*(B95/SUMIFS($B$2:$B$181,$A$2:$A$181,EDATE(A95,-12))-1)</x:f>
        <x:v>-31.78609248146841</x:v>
      </x:c>
      <x:c r="H95" s="53" t="n">
        <x:f>100*(C95/SUMIFS($C$2:$C$181,$A$2:$A$181,EDATE(A95,-12))-1)</x:f>
        <x:v>-13.182539682539673</x:v>
      </x:c>
      <x:c r="I95" s="54" t="n">
        <x:f>100*B95/'Charts'!$AJ$7</x:f>
        <x:v>68.19785907540289</x:v>
      </x:c>
      <x:c r="J95" s="54" t="n">
        <x:f>100*C95/'Charts'!$AK$7</x:f>
        <x:v>66.0441340725908</x:v>
      </x:c>
    </x:row>
    <x:row r="96" ht="23" customHeight="1">
      <x:c r="A96" s="16" t="d">
        <x:v>1931-11-01T00:00:00.000Z</x:v>
      </x:c>
      <x:c r="B96" s="6" t="n">
        <x:v>1092.8</x:v>
      </x:c>
      <x:c r="C96" s="6" t="n">
        <x:v>1018.5</x:v>
      </x:c>
      <x:c r="D96" s="17" t="n">
        <x:f>B96-C96</x:f>
        <x:v>74.29999999999995</x:v>
      </x:c>
      <x:c r="E96" s="52" t="n">
        <x:f>B96+C96</x:f>
        <x:v>2111.3</x:v>
      </x:c>
      <x:c r="F96" s="53" t="n">
        <x:f>100*B96/C96</x:f>
        <x:v>107.29504172803142</x:v>
      </x:c>
      <x:c r="G96" s="53" t="n">
        <x:f>100*(B96/SUMIFS($B$2:$B$181,$A$2:$A$181,EDATE(A96,-12))-1)</x:f>
        <x:v>-32.0228912664842</x:v>
      </x:c>
      <x:c r="H96" s="53" t="n">
        <x:f>100*(C96/SUMIFS($C$2:$C$181,$A$2:$A$181,EDATE(A96,-12))-1)</x:f>
        <x:v>-25.72741194486983</x:v>
      </x:c>
      <x:c r="I96" s="54" t="n">
        <x:f>100*B96/'Charts'!$AJ$7</x:f>
        <x:v>64.27479120103517</x:v>
      </x:c>
      <x:c r="J96" s="54" t="n">
        <x:f>100*C96/'Charts'!$AK$7</x:f>
        <x:v>61.49186447841093</x:v>
      </x:c>
    </x:row>
    <x:row r="97" ht="23" customHeight="1">
      <x:c r="A97" s="16" t="d">
        <x:v>1931-12-01T00:00:00.000Z</x:v>
      </x:c>
      <x:c r="B97" s="6" t="n">
        <x:v>1147.7</x:v>
      </x:c>
      <x:c r="C97" s="6" t="n">
        <x:v>1217.5</x:v>
      </x:c>
      <x:c r="D97" s="17" t="n">
        <x:f>B97-C97</x:f>
        <x:v>-69.79999999999995</x:v>
      </x:c>
      <x:c r="E97" s="52" t="n">
        <x:f>B97+C97</x:f>
        <x:v>2365.2</x:v>
      </x:c>
      <x:c r="F97" s="53" t="n">
        <x:f>100*B97/C97</x:f>
        <x:v>94.26694045174538</x:v>
      </x:c>
      <x:c r="G97" s="53" t="n">
        <x:f>100*(B97/SUMIFS($B$2:$B$181,$A$2:$A$181,EDATE(A97,-12))-1)</x:f>
        <x:v>-20.502874558426264</x:v>
      </x:c>
      <x:c r="H97" s="53" t="n">
        <x:f>100*(C97/SUMIFS($C$2:$C$181,$A$2:$A$181,EDATE(A97,-12))-1)</x:f>
        <x:v>-5.127405906646921</x:v>
      </x:c>
      <x:c r="I97" s="54" t="n">
        <x:f>100*B97/'Charts'!$AJ$7</x:f>
        <x:v>67.50382307963768</x:v>
      </x:c>
      <x:c r="J97" s="54" t="n">
        <x:f>100*C97/'Charts'!$AK$7</x:f>
        <x:v>73.50647521106069</x:v>
      </x:c>
    </x:row>
    <x:row r="98" ht="23" customHeight="1">
      <x:c r="A98" s="16" t="d">
        <x:v>1932-01-01T00:00:00.000Z</x:v>
      </x:c>
      <x:c r="B98" s="6" t="n">
        <x:v>575</x:v>
      </x:c>
      <x:c r="C98" s="6" t="n">
        <x:v>704.7</x:v>
      </x:c>
      <x:c r="D98" s="17" t="n">
        <x:f>B98-C98</x:f>
        <x:v>-129.70000000000005</x:v>
      </x:c>
      <x:c r="E98" s="52" t="n">
        <x:f>B98+C98</x:f>
        <x:v>1279.7</x:v>
      </x:c>
      <x:c r="F98" s="53" t="n">
        <x:f>100*B98/C98</x:f>
        <x:v>81.59500496665247</x:v>
      </x:c>
      <x:c r="G98" s="53" t="n">
        <x:f>100*(B98/SUMIFS($B$2:$B$181,$A$2:$A$181,EDATE(A98,-12))-1)</x:f>
        <x:v>-42.40208354202143</x:v>
      </x:c>
      <x:c r="H98" s="53" t="n">
        <x:f>100*(C98/SUMIFS($C$2:$C$181,$A$2:$A$181,EDATE(A98,-12))-1)</x:f>
        <x:v>-19.956837800999537</x:v>
      </x:c>
      <x:c r="I98" s="54" t="n">
        <x:f>100*B98/'Charts'!$AJ$7</x:f>
        <x:v>33.819550641101046</x:v>
      </x:c>
      <x:c r="J98" s="54" t="n">
        <x:f>100*C98/'Charts'!$AK$7</x:f>
        <x:v>42.54621197637328</x:v>
      </x:c>
    </x:row>
    <x:row r="99" ht="23" customHeight="1">
      <x:c r="A99" s="16" t="d">
        <x:v>1932-02-01T00:00:00.000Z</x:v>
      </x:c>
      <x:c r="B99" s="6" t="n">
        <x:v>567.1</x:v>
      </x:c>
      <x:c r="C99" s="6" t="n">
        <x:v>607.1</x:v>
      </x:c>
      <x:c r="D99" s="17" t="n">
        <x:f>B99-C99</x:f>
        <x:v>-40</x:v>
      </x:c>
      <x:c r="E99" s="52" t="n">
        <x:f>B99+C99</x:f>
        <x:v>1174.2</x:v>
      </x:c>
      <x:c r="F99" s="53" t="n">
        <x:f>100*B99/C99</x:f>
        <x:v>93.41129962114972</x:v>
      </x:c>
      <x:c r="G99" s="53" t="n">
        <x:f>100*(B99/SUMIFS($B$2:$B$181,$A$2:$A$181,EDATE(A99,-12))-1)</x:f>
        <x:v>-43.34665334665334</x:v>
      </x:c>
      <x:c r="H99" s="53" t="n">
        <x:f>100*(C99/SUMIFS($C$2:$C$181,$A$2:$A$181,EDATE(A99,-12))-1)</x:f>
        <x:v>-27.880731765264898</x:v>
      </x:c>
      <x:c r="I99" s="54" t="n">
        <x:f>100*B99/'Charts'!$AJ$7</x:f>
        <x:v>33.354899423597224</x:v>
      </x:c>
      <x:c r="J99" s="54" t="n">
        <x:f>100*C99/'Charts'!$AK$7</x:f>
        <x:v>36.65361897382747</x:v>
      </x:c>
    </x:row>
    <x:row r="100" ht="23" customHeight="1">
      <x:c r="A100" s="16" t="d">
        <x:v>1932-03-01T00:00:00.000Z</x:v>
      </x:c>
      <x:c r="B100" s="6" t="n">
        <x:v>672.7</x:v>
      </x:c>
      <x:c r="C100" s="6" t="n">
        <x:v>597</x:v>
      </x:c>
      <x:c r="D100" s="17" t="n">
        <x:f>B100-C100</x:f>
        <x:v>75.70000000000005</x:v>
      </x:c>
      <x:c r="E100" s="52" t="n">
        <x:f>B100+C100</x:f>
        <x:v>1269.7</x:v>
      </x:c>
      <x:c r="F100" s="53" t="n">
        <x:f>100*B100/C100</x:f>
        <x:v>112.68006700167504</x:v>
      </x:c>
      <x:c r="G100" s="53" t="n">
        <x:f>100*(B100/SUMIFS($B$2:$B$181,$A$2:$A$181,EDATE(A100,-12))-1)</x:f>
        <x:v>-37.879767291532</x:v>
      </x:c>
      <x:c r="H100" s="53" t="n">
        <x:f>100*(C100/SUMIFS($C$2:$C$181,$A$2:$A$181,EDATE(A100,-12))-1)</x:f>
        <x:v>-31.9735642661805</x:v>
      </x:c>
      <x:c r="I100" s="54" t="n">
        <x:f>100*B100/'Charts'!$AJ$7</x:f>
        <x:v>39.56593341959769</x:v>
      </x:c>
      <x:c r="J100" s="54" t="n">
        <x:f>100*C100/'Charts'!$AK$7</x:f>
        <x:v>36.043832197949264</x:v>
      </x:c>
    </x:row>
    <x:row r="101" ht="23" customHeight="1">
      <x:c r="A101" s="16" t="d">
        <x:v>1932-04-01T00:00:00.000Z</x:v>
      </x:c>
      <x:c r="B101" s="6" t="n">
        <x:v>653.2</x:v>
      </x:c>
      <x:c r="C101" s="6" t="n">
        <x:v>736.6</x:v>
      </x:c>
      <x:c r="D101" s="17" t="n">
        <x:f>B101-C101</x:f>
        <x:v>-83.39999999999998</x:v>
      </x:c>
      <x:c r="E101" s="52" t="n">
        <x:f>B101+C101</x:f>
        <x:v>1389.8000000000002</x:v>
      </x:c>
      <x:c r="F101" s="53" t="n">
        <x:f>100*B101/C101</x:f>
        <x:v>88.67770838989955</x:v>
      </x:c>
      <x:c r="G101" s="53" t="n">
        <x:f>100*(B101/SUMIFS($B$2:$B$181,$A$2:$A$181,EDATE(A101,-12))-1)</x:f>
        <x:v>-44.02262404661925</x:v>
      </x:c>
      <x:c r="H101" s="53" t="n">
        <x:f>100*(C101/SUMIFS($C$2:$C$181,$A$2:$A$181,EDATE(A101,-12))-1)</x:f>
        <x:v>-26.6115373119458</x:v>
      </x:c>
      <x:c r="I101" s="54" t="n">
        <x:f>100*B101/'Charts'!$AJ$7</x:f>
        <x:v>38.41900952829079</x:v>
      </x:c>
      <x:c r="J101" s="54" t="n">
        <x:f>100*C101/'Charts'!$AK$7</x:f>
        <x:v>44.47217218929553</x:v>
      </x:c>
    </x:row>
    <x:row r="102" ht="23" customHeight="1">
      <x:c r="A102" s="16" t="d">
        <x:v>1932-05-01T00:00:00.000Z</x:v>
      </x:c>
      <x:c r="B102" s="6" t="n">
        <x:v>627.1</x:v>
      </x:c>
      <x:c r="C102" s="6" t="n">
        <x:v>624.9</x:v>
      </x:c>
      <x:c r="D102" s="17" t="n">
        <x:f>B102-C102</x:f>
        <x:v>2.2000000000000455</x:v>
      </x:c>
      <x:c r="E102" s="52" t="n">
        <x:f>B102+C102</x:f>
        <x:v>1252</x:v>
      </x:c>
      <x:c r="F102" s="53" t="n">
        <x:f>100*B102/C102</x:f>
        <x:v>100.35205632901264</x:v>
      </x:c>
      <x:c r="G102" s="53" t="n">
        <x:f>100*(B102/SUMIFS($B$2:$B$181,$A$2:$A$181,EDATE(A102,-12))-1)</x:f>
        <x:v>-42.65727871250914</x:v>
      </x:c>
      <x:c r="H102" s="53" t="n">
        <x:f>100*(C102/SUMIFS($C$2:$C$181,$A$2:$A$181,EDATE(A102,-12))-1)</x:f>
        <x:v>-34.366138010713165</x:v>
      </x:c>
      <x:c r="I102" s="54" t="n">
        <x:f>100*B102/'Charts'!$AJ$7</x:f>
        <x:v>36.883896012233855</x:v>
      </x:c>
      <x:c r="J102" s="54" t="n">
        <x:f>100*C102/'Charts'!$AK$7</x:f>
        <x:v>37.72829269765242</x:v>
      </x:c>
    </x:row>
    <x:row r="103" ht="23" customHeight="1">
      <x:c r="A103" s="16" t="d">
        <x:v>1932-06-01T00:00:00.000Z</x:v>
      </x:c>
      <x:c r="B103" s="6" t="n">
        <x:v>598.8</x:v>
      </x:c>
      <x:c r="C103" s="6" t="n">
        <x:v>635.8</x:v>
      </x:c>
      <x:c r="D103" s="17" t="n">
        <x:f>B103-C103</x:f>
        <x:v>-37</x:v>
      </x:c>
      <x:c r="E103" s="52" t="n">
        <x:f>B103+C103</x:f>
        <x:v>1234.6</x:v>
      </x:c>
      <x:c r="F103" s="53" t="n">
        <x:f>100*B103/C103</x:f>
        <x:v>94.18055992450455</x:v>
      </x:c>
      <x:c r="G103" s="53" t="n">
        <x:f>100*(B103/SUMIFS($B$2:$B$181,$A$2:$A$181,EDATE(A103,-12))-1)</x:f>
        <x:v>-42.20077220077221</x:v>
      </x:c>
      <x:c r="H103" s="53" t="n">
        <x:f>100*(C103/SUMIFS($C$2:$C$181,$A$2:$A$181,EDATE(A103,-12))-1)</x:f>
        <x:v>-34.84988216005739</x:v>
      </x:c>
      <x:c r="I103" s="54" t="n">
        <x:f>100*B103/'Charts'!$AJ$7</x:f>
        <x:v>35.21938595459357</x:v>
      </x:c>
      <x:c r="J103" s="54" t="n">
        <x:f>100*C103/'Charts'!$AK$7</x:f>
        <x:v>38.38637941617444</x:v>
      </x:c>
    </x:row>
    <x:row r="104" ht="23" customHeight="1">
      <x:c r="A104" s="16" t="d">
        <x:v>1932-07-01T00:00:00.000Z</x:v>
      </x:c>
      <x:c r="B104" s="6" t="n">
        <x:v>546.6</x:v>
      </x:c>
      <x:c r="C104" s="6" t="n">
        <x:v>583.9</x:v>
      </x:c>
      <x:c r="D104" s="17" t="n">
        <x:f>B104-C104</x:f>
        <x:v>-37.299999999999955</x:v>
      </x:c>
      <x:c r="E104" s="52" t="n">
        <x:f>B104+C104</x:f>
        <x:v>1130.5</x:v>
      </x:c>
      <x:c r="F104" s="53" t="n">
        <x:f>100*B104/C104</x:f>
        <x:v>93.61191984928927</x:v>
      </x:c>
      <x:c r="G104" s="53" t="n">
        <x:f>100*(B104/SUMIFS($B$2:$B$181,$A$2:$A$181,EDATE(A104,-12))-1)</x:f>
        <x:v>-50.277449285909206</x:v>
      </x:c>
      <x:c r="H104" s="53" t="n">
        <x:f>100*(C104/SUMIFS($C$2:$C$181,$A$2:$A$181,EDATE(A104,-12))-1)</x:f>
        <x:v>-42.199564442684625</x:v>
      </x:c>
      <x:c r="I104" s="54" t="n">
        <x:f>100*B104/'Charts'!$AJ$7</x:f>
        <x:v>32.14915892247971</x:v>
      </x:c>
      <x:c r="J104" s="54" t="n">
        <x:f>100*C104/'Charts'!$AK$7</x:f>
        <x:v>35.25292063715674</x:v>
      </x:c>
    </x:row>
    <x:row r="105" ht="23" customHeight="1">
      <x:c r="A105" s="16" t="d">
        <x:v>1932-08-01T00:00:00.000Z</x:v>
      </x:c>
      <x:c r="B105" s="6" t="n">
        <x:v>509.5</x:v>
      </x:c>
      <x:c r="C105" s="6" t="n">
        <x:v>479.7</x:v>
      </x:c>
      <x:c r="D105" s="17" t="n">
        <x:f>B105-C105</x:f>
        <x:v>29.80000000000001</x:v>
      </x:c>
      <x:c r="E105" s="52" t="n">
        <x:f>B105+C105</x:f>
        <x:v>989.2</x:v>
      </x:c>
      <x:c r="F105" s="53" t="n">
        <x:f>100*B105/C105</x:f>
        <x:v>106.21221596831353</x:v>
      </x:c>
      <x:c r="G105" s="53" t="n">
        <x:f>100*(B105/SUMIFS($B$2:$B$181,$A$2:$A$181,EDATE(A105,-12))-1)</x:f>
        <x:v>-52.3876273245491</x:v>
      </x:c>
      <x:c r="H105" s="53" t="n">
        <x:f>100*(C105/SUMIFS($C$2:$C$181,$A$2:$A$181,EDATE(A105,-12))-1)</x:f>
        <x:v>-47.625286603340975</x:v>
      </x:c>
      <x:c r="I105" s="54" t="n">
        <x:f>100*B105/'Charts'!$AJ$7</x:f>
        <x:v>29.96706269850606</x:v>
      </x:c>
      <x:c r="J105" s="54" t="n">
        <x:f>100*C105/'Charts'!$AK$7</x:f>
        <x:v>28.961853107799435</x:v>
      </x:c>
    </x:row>
    <x:row r="106" ht="23" customHeight="1">
      <x:c r="A106" s="16" t="d">
        <x:v>1932-09-01T00:00:00.000Z</x:v>
      </x:c>
      <x:c r="B106" s="6" t="n">
        <x:v>575.5</x:v>
      </x:c>
      <x:c r="C106" s="6" t="n">
        <x:v>485.8</x:v>
      </x:c>
      <x:c r="D106" s="17" t="n">
        <x:f>B106-C106</x:f>
        <x:v>89.69999999999999</x:v>
      </x:c>
      <x:c r="E106" s="52" t="n">
        <x:f>B106+C106</x:f>
        <x:v>1061.3</x:v>
      </x:c>
      <x:c r="F106" s="53" t="n">
        <x:f>100*B106/C106</x:f>
        <x:v>118.4643886372993</x:v>
      </x:c>
      <x:c r="G106" s="53" t="n">
        <x:f>100*(B106/SUMIFS($B$2:$B$181,$A$2:$A$181,EDATE(A106,-12))-1)</x:f>
        <x:v>-49.93039846876631</x:v>
      </x:c>
      <x:c r="H106" s="53" t="n">
        <x:f>100*(C106/SUMIFS($C$2:$C$181,$A$2:$A$181,EDATE(A106,-12))-1)</x:f>
        <x:v>-47.94256322331761</x:v>
      </x:c>
      <x:c r="I106" s="54" t="n">
        <x:f>100*B106/'Charts'!$AJ$7</x:f>
        <x:v>33.84895894600635</x:v>
      </x:c>
      <x:c r="J106" s="54" t="n">
        <x:f>100*C106/'Charts'!$AK$7</x:f>
        <x:v>29.33014017045855</x:v>
      </x:c>
    </x:row>
    <x:row r="107" ht="23" customHeight="1">
      <x:c r="A107" s="16" t="d">
        <x:v>1932-10-01T00:00:00.000Z</x:v>
      </x:c>
      <x:c r="B107" s="6" t="n">
        <x:v>699.2</x:v>
      </x:c>
      <x:c r="C107" s="6" t="n">
        <x:v>621.8</x:v>
      </x:c>
      <x:c r="D107" s="17" t="n">
        <x:f>B107-C107</x:f>
        <x:v>77.40000000000009</x:v>
      </x:c>
      <x:c r="E107" s="52" t="n">
        <x:f>B107+C107</x:f>
        <x:v>1321</x:v>
      </x:c>
      <x:c r="F107" s="53" t="n">
        <x:f>100*B107/C107</x:f>
        <x:v>112.44773238983596</x:v>
      </x:c>
      <x:c r="G107" s="53" t="n">
        <x:f>100*(B107/SUMIFS($B$2:$B$181,$A$2:$A$181,EDATE(A107,-12))-1)</x:f>
        <x:v>-39.698145752479505</x:v>
      </x:c>
      <x:c r="H107" s="53" t="n">
        <x:f>100*(C107/SUMIFS($C$2:$C$181,$A$2:$A$181,EDATE(A107,-12))-1)</x:f>
        <x:v>-43.157509827223706</x:v>
      </x:c>
      <x:c r="I107" s="54" t="n">
        <x:f>100*B107/'Charts'!$AJ$7</x:f>
        <x:v>41.12457357957887</x:v>
      </x:c>
      <x:c r="J107" s="54" t="n">
        <x:f>100*C107/'Charts'!$AK$7</x:f>
        <x:v>37.541130419907624</x:v>
      </x:c>
    </x:row>
    <x:row r="108" ht="23" customHeight="1">
      <x:c r="A108" s="16" t="d">
        <x:v>1932-11-01T00:00:00.000Z</x:v>
      </x:c>
      <x:c r="B108" s="6" t="n">
        <x:v>633.7</x:v>
      </x:c>
      <x:c r="C108" s="6" t="n">
        <x:v>610.9</x:v>
      </x:c>
      <x:c r="D108" s="17" t="n">
        <x:f>B108-C108</x:f>
        <x:v>22.800000000000068</x:v>
      </x:c>
      <x:c r="E108" s="52" t="n">
        <x:f>B108+C108</x:f>
        <x:v>1244.6</x:v>
      </x:c>
      <x:c r="F108" s="53" t="n">
        <x:f>100*B108/C108</x:f>
        <x:v>103.73219839580948</x:v>
      </x:c>
      <x:c r="G108" s="53" t="n">
        <x:f>100*(B108/SUMIFS($B$2:$B$181,$A$2:$A$181,EDATE(A108,-12))-1)</x:f>
        <x:v>-42.01134699853587</x:v>
      </x:c>
      <x:c r="H108" s="53" t="n">
        <x:f>100*(C108/SUMIFS($C$2:$C$181,$A$2:$A$181,EDATE(A108,-12))-1)</x:f>
        <x:v>-40.01963672066765</x:v>
      </x:c>
      <x:c r="I108" s="54" t="n">
        <x:f>100*B108/'Charts'!$AJ$7</x:f>
        <x:v>37.27208563698389</x:v>
      </x:c>
      <x:c r="J108" s="54" t="n">
        <x:f>100*C108/'Charts'!$AK$7</x:f>
        <x:v>36.8830437013856</x:v>
      </x:c>
    </x:row>
    <x:row r="109" ht="23" customHeight="1">
      <x:c r="A109" s="16" t="d">
        <x:v>1932-12-01T00:00:00.000Z</x:v>
      </x:c>
      <x:c r="B109" s="6" t="n">
        <x:v>677.7</x:v>
      </x:c>
      <x:c r="C109" s="6" t="n">
        <x:v>773.1</x:v>
      </x:c>
      <x:c r="D109" s="17" t="n">
        <x:f>B109-C109</x:f>
        <x:v>-95.39999999999998</x:v>
      </x:c>
      <x:c r="E109" s="52" t="n">
        <x:f>B109+C109</x:f>
        <x:v>1450.8000000000002</x:v>
      </x:c>
      <x:c r="F109" s="53" t="n">
        <x:f>100*B109/C109</x:f>
        <x:v>87.66006984866124</x:v>
      </x:c>
      <x:c r="G109" s="53" t="n">
        <x:f>100*(B109/SUMIFS($B$2:$B$181,$A$2:$A$181,EDATE(A109,-12))-1)</x:f>
        <x:v>-40.9514681536987</x:v>
      </x:c>
      <x:c r="H109" s="53" t="n">
        <x:f>100*(C109/SUMIFS($C$2:$C$181,$A$2:$A$181,EDATE(A109,-12))-1)</x:f>
        <x:v>-36.501026694045166</x:v>
      </x:c>
      <x:c r="I109" s="54" t="n">
        <x:f>100*B109/'Charts'!$AJ$7</x:f>
        <x:v>39.86001646865075</x:v>
      </x:c>
      <x:c r="J109" s="54" t="n">
        <x:f>100*C109/'Charts'!$AK$7</x:f>
        <x:v>46.67585707241973</x:v>
      </x:c>
    </x:row>
    <x:row r="110" ht="23" customHeight="1">
      <x:c r="A110" s="16" t="d">
        <x:v>1933-01-01T00:00:00.000Z</x:v>
      </x:c>
      <x:c r="B110" s="6" t="n">
        <x:v>386.6</x:v>
      </x:c>
      <x:c r="C110" s="6" t="n">
        <x:v>379.7</x:v>
      </x:c>
      <x:c r="D110" s="17" t="n">
        <x:f>B110-C110</x:f>
        <x:v>6.900000000000034</x:v>
      </x:c>
      <x:c r="E110" s="52" t="n">
        <x:f>B110+C110</x:f>
        <x:v>766.3</x:v>
      </x:c>
      <x:c r="F110" s="53" t="n">
        <x:f>100*B110/C110</x:f>
        <x:v>101.81722412430867</x:v>
      </x:c>
      <x:c r="G110" s="53" t="n">
        <x:f>100*(B110/SUMIFS($B$2:$B$181,$A$2:$A$181,EDATE(A110,-12))-1)</x:f>
        <x:v>-32.76521739130435</x:v>
      </x:c>
      <x:c r="H110" s="53" t="n">
        <x:f>100*(C110/SUMIFS($C$2:$C$181,$A$2:$A$181,EDATE(A110,-12))-1)</x:f>
        <x:v>-46.118915850716625</x:v>
      </x:c>
      <x:c r="I110" s="54" t="n">
        <x:f>100*B110/'Charts'!$AJ$7</x:f>
        <x:v>22.738501352782023</x:v>
      </x:c>
      <x:c r="J110" s="54" t="n">
        <x:f>100*C110/'Charts'!$AK$7</x:f>
        <x:v>22.924360277322172</x:v>
      </x:c>
    </x:row>
    <x:row r="111" ht="23" customHeight="1">
      <x:c r="A111" s="16" t="d">
        <x:v>1933-02-01T00:00:00.000Z</x:v>
      </x:c>
      <x:c r="B111" s="6" t="n">
        <x:v>440.5</x:v>
      </x:c>
      <x:c r="C111" s="6" t="n">
        <x:v>368.4</x:v>
      </x:c>
      <x:c r="D111" s="17" t="n">
        <x:f>B111-C111</x:f>
        <x:v>72.10000000000002</x:v>
      </x:c>
      <x:c r="E111" s="52" t="n">
        <x:f>B111+C111</x:f>
        <x:v>808.9</x:v>
      </x:c>
      <x:c r="F111" s="53" t="n">
        <x:f>100*B111/C111</x:f>
        <x:v>119.57111834961998</x:v>
      </x:c>
      <x:c r="G111" s="53" t="n">
        <x:f>100*(B111/SUMIFS($B$2:$B$181,$A$2:$A$181,EDATE(A111,-12))-1)</x:f>
        <x:v>-22.324105096102986</x:v>
      </x:c>
      <x:c r="H111" s="53" t="n">
        <x:f>100*(C111/SUMIFS($C$2:$C$181,$A$2:$A$181,EDATE(A111,-12))-1)</x:f>
        <x:v>-39.318069510789</x:v>
      </x:c>
      <x:c r="I111" s="54" t="n">
        <x:f>100*B111/'Charts'!$AJ$7</x:f>
        <x:v>25.90871662157393</x:v>
      </x:c>
      <x:c r="J111" s="54" t="n">
        <x:f>100*C111/'Charts'!$AK$7</x:f>
        <x:v>22.24212358747824</x:v>
      </x:c>
    </x:row>
    <x:row r="112" ht="23" customHeight="1">
      <x:c r="A112" s="16" t="d">
        <x:v>1933-03-01T00:00:00.000Z</x:v>
      </x:c>
      <x:c r="B112" s="6" t="n">
        <x:v>474</x:v>
      </x:c>
      <x:c r="C112" s="6" t="n">
        <x:v>452.3</x:v>
      </x:c>
      <x:c r="D112" s="17" t="n">
        <x:f>B112-C112</x:f>
        <x:v>21.69999999999999</x:v>
      </x:c>
      <x:c r="E112" s="52" t="n">
        <x:f>B112+C112</x:f>
        <x:v>926.3</x:v>
      </x:c>
      <x:c r="F112" s="53" t="n">
        <x:f>100*B112/C112</x:f>
        <x:v>104.79770064116737</x:v>
      </x:c>
      <x:c r="G112" s="53" t="n">
        <x:f>100*(B112/SUMIFS($B$2:$B$181,$A$2:$A$181,EDATE(A112,-12))-1)</x:f>
        <x:v>-29.537683960160553</x:v>
      </x:c>
      <x:c r="H112" s="53" t="n">
        <x:f>100*(C112/SUMIFS($C$2:$C$181,$A$2:$A$181,EDATE(A112,-12))-1)</x:f>
        <x:v>-24.237855946398657</x:v>
      </x:c>
      <x:c r="I112" s="54" t="n">
        <x:f>100*B112/'Charts'!$AJ$7</x:f>
        <x:v>27.879073050229383</x:v>
      </x:c>
      <x:c r="J112" s="54" t="n">
        <x:f>100*C112/'Charts'!$AK$7</x:f>
        <x:v>27.307580072248665</x:v>
      </x:c>
    </x:row>
    <x:row r="113" ht="23" customHeight="1">
      <x:c r="A113" s="16" t="d">
        <x:v>1933-04-01T00:00:00.000Z</x:v>
      </x:c>
      <x:c r="B113" s="6" t="n">
        <x:v>409.9</x:v>
      </x:c>
      <x:c r="C113" s="6" t="n">
        <x:v>426.9</x:v>
      </x:c>
      <x:c r="D113" s="17" t="n">
        <x:f>B113-C113</x:f>
        <x:v>-17</x:v>
      </x:c>
      <x:c r="E113" s="52" t="n">
        <x:f>B113+C113</x:f>
        <x:v>836.8</x:v>
      </x:c>
      <x:c r="F113" s="53" t="n">
        <x:f>100*B113/C113</x:f>
        <x:v>96.01780276411338</x:v>
      </x:c>
      <x:c r="G113" s="53" t="n">
        <x:f>100*(B113/SUMIFS($B$2:$B$181,$A$2:$A$181,EDATE(A113,-12))-1)</x:f>
        <x:v>-37.24739742804655</x:v>
      </x:c>
      <x:c r="H113" s="53" t="n">
        <x:f>100*(C113/SUMIFS($C$2:$C$181,$A$2:$A$181,EDATE(A113,-12))-1)</x:f>
        <x:v>-42.04452891664404</x:v>
      </x:c>
      <x:c r="I113" s="54" t="n">
        <x:f>100*B113/'Charts'!$AJ$7</x:f>
        <x:v>24.10892836136925</x:v>
      </x:c>
      <x:c r="J113" s="54" t="n">
        <x:f>100*C113/'Charts'!$AK$7</x:f>
        <x:v>25.77405689330744</x:v>
      </x:c>
    </x:row>
    <x:row r="114" ht="23" customHeight="1">
      <x:c r="A114" s="16" t="d">
        <x:v>1933-05-01T00:00:00.000Z</x:v>
      </x:c>
      <x:c r="B114" s="6" t="n">
        <x:v>464.5</x:v>
      </x:c>
      <x:c r="C114" s="6" t="n">
        <x:v>473.2</x:v>
      </x:c>
      <x:c r="D114" s="17" t="n">
        <x:f>B114-C114</x:f>
        <x:v>-8.699999999999989</x:v>
      </x:c>
      <x:c r="E114" s="52" t="n">
        <x:f>B114+C114</x:f>
        <x:v>937.7</x:v>
      </x:c>
      <x:c r="F114" s="53" t="n">
        <x:f>100*B114/C114</x:f>
        <x:v>98.1614539306847</x:v>
      </x:c>
      <x:c r="G114" s="53" t="n">
        <x:f>100*(B114/SUMIFS($B$2:$B$181,$A$2:$A$181,EDATE(A114,-12))-1)</x:f>
        <x:v>-25.928878966671988</x:v>
      </x:c>
      <x:c r="H114" s="53" t="n">
        <x:f>100*(C114/SUMIFS($C$2:$C$181,$A$2:$A$181,EDATE(A114,-12))-1)</x:f>
        <x:v>-24.275884141462633</x:v>
      </x:c>
      <x:c r="I114" s="54" t="n">
        <x:f>100*B114/'Charts'!$AJ$7</x:f>
        <x:v>27.320315257028586</x:v>
      </x:c>
      <x:c r="J114" s="54" t="n">
        <x:f>100*C114/'Charts'!$AK$7</x:f>
        <x:v>28.569416073818413</x:v>
      </x:c>
    </x:row>
    <x:row r="115" ht="23" customHeight="1">
      <x:c r="A115" s="16" t="d">
        <x:v>1933-06-01T00:00:00.000Z</x:v>
      </x:c>
      <x:c r="B115" s="6" t="n">
        <x:v>454.3</x:v>
      </x:c>
      <x:c r="C115" s="6" t="n">
        <x:v>498.8</x:v>
      </x:c>
      <x:c r="D115" s="17" t="n">
        <x:f>B115-C115</x:f>
        <x:v>-44.5</x:v>
      </x:c>
      <x:c r="E115" s="52" t="n">
        <x:f>B115+C115</x:f>
        <x:v>953.1</x:v>
      </x:c>
      <x:c r="F115" s="53" t="n">
        <x:f>100*B115/C115</x:f>
        <x:v>91.0785886126704</x:v>
      </x:c>
      <x:c r="G115" s="53" t="n">
        <x:f>100*(B115/SUMIFS($B$2:$B$181,$A$2:$A$181,EDATE(A115,-12))-1)</x:f>
        <x:v>-24.1315965263861</x:v>
      </x:c>
      <x:c r="H115" s="53" t="n">
        <x:f>100*(C115/SUMIFS($C$2:$C$181,$A$2:$A$181,EDATE(A115,-12))-1)</x:f>
        <x:v>-21.547656495753376</x:v>
      </x:c>
      <x:c r="I115" s="54" t="n">
        <x:f>100*B115/'Charts'!$AJ$7</x:f>
        <x:v>26.720385836960357</x:v>
      </x:c>
      <x:c r="J115" s="54" t="n">
        <x:f>100*C115/'Charts'!$AK$7</x:f>
        <x:v>30.115014238420592</x:v>
      </x:c>
    </x:row>
    <x:row r="116" ht="23" customHeight="1">
      <x:c r="A116" s="16" t="d">
        <x:v>1933-07-01T00:00:00.000Z</x:v>
      </x:c>
      <x:c r="B116" s="6" t="n">
        <x:v>496.5</x:v>
      </x:c>
      <x:c r="C116" s="6" t="n">
        <x:v>579.3</x:v>
      </x:c>
      <x:c r="D116" s="17" t="n">
        <x:f>B116-C116</x:f>
        <x:v>-82.79999999999995</x:v>
      </x:c>
      <x:c r="E116" s="52" t="n">
        <x:f>B116+C116</x:f>
        <x:v>1075.8</x:v>
      </x:c>
      <x:c r="F116" s="53" t="n">
        <x:f>100*B116/C116</x:f>
        <x:v>85.70688762299328</x:v>
      </x:c>
      <x:c r="G116" s="53" t="n">
        <x:f>100*(B116/SUMIFS($B$2:$B$181,$A$2:$A$181,EDATE(A116,-12))-1)</x:f>
        <x:v>-9.16575192096597</x:v>
      </x:c>
      <x:c r="H116" s="53" t="n">
        <x:f>100*(C116/SUMIFS($C$2:$C$181,$A$2:$A$181,EDATE(A116,-12))-1)</x:f>
        <x:v>-0.7878061311868523</x:v>
      </x:c>
      <x:c r="I116" s="54" t="n">
        <x:f>100*B116/'Charts'!$AJ$7</x:f>
        <x:v>29.20244677096812</x:v>
      </x:c>
      <x:c r="J116" s="54" t="n">
        <x:f>100*C116/'Charts'!$AK$7</x:f>
        <x:v>34.975195966954786</x:v>
      </x:c>
    </x:row>
    <x:row r="117" ht="23" customHeight="1">
      <x:c r="A117" s="16" t="d">
        <x:v>1933-08-01T00:00:00.000Z</x:v>
      </x:c>
      <x:c r="B117" s="6" t="n">
        <x:v>443.2</x:v>
      </x:c>
      <x:c r="C117" s="6" t="n">
        <x:v>422.5</x:v>
      </x:c>
      <x:c r="D117" s="17" t="n">
        <x:f>B117-C117</x:f>
        <x:v>20.69999999999999</x:v>
      </x:c>
      <x:c r="E117" s="52" t="n">
        <x:f>B117+C117</x:f>
        <x:v>865.7</x:v>
      </x:c>
      <x:c r="F117" s="53" t="n">
        <x:f>100*B117/C117</x:f>
        <x:v>104.89940828402366</x:v>
      </x:c>
      <x:c r="G117" s="53" t="n">
        <x:f>100*(B117/SUMIFS($B$2:$B$181,$A$2:$A$181,EDATE(A117,-12))-1)</x:f>
        <x:v>-13.012757605495583</x:v>
      </x:c>
      <x:c r="H117" s="53" t="n">
        <x:f>100*(C117/SUMIFS($C$2:$C$181,$A$2:$A$181,EDATE(A117,-12))-1)</x:f>
        <x:v>-11.924119241192411</x:v>
      </x:c>
      <x:c r="I117" s="54" t="n">
        <x:f>100*B117/'Charts'!$AJ$7</x:f>
        <x:v>26.06752146806258</x:v>
      </x:c>
      <x:c r="J117" s="54" t="n">
        <x:f>100*C117/'Charts'!$AK$7</x:f>
        <x:v>25.50840720876644</x:v>
      </x:c>
    </x:row>
    <x:row r="118" ht="23" customHeight="1">
      <x:c r="A118" s="16" t="d">
        <x:v>1933-09-01T00:00:00.000Z</x:v>
      </x:c>
      <x:c r="B118" s="6" t="n">
        <x:v>547.7</x:v>
      </x:c>
      <x:c r="C118" s="6" t="n">
        <x:v>488.6</x:v>
      </x:c>
      <x:c r="D118" s="17" t="n">
        <x:f>B118-C118</x:f>
        <x:v>59.10000000000002</x:v>
      </x:c>
      <x:c r="E118" s="52" t="n">
        <x:f>B118+C118</x:f>
        <x:v>1036.3000000000002</x:v>
      </x:c>
      <x:c r="F118" s="53" t="n">
        <x:f>100*B118/C118</x:f>
        <x:v>112.09578387228818</x:v>
      </x:c>
      <x:c r="G118" s="53" t="n">
        <x:f>100*(B118/SUMIFS($B$2:$B$181,$A$2:$A$181,EDATE(A118,-12))-1)</x:f>
        <x:v>-4.830582102519543</x:v>
      </x:c>
      <x:c r="H118" s="53" t="n">
        <x:f>100*(C118/SUMIFS($C$2:$C$181,$A$2:$A$181,EDATE(A118,-12))-1)</x:f>
        <x:v>0.5763688760807018</x:v>
      </x:c>
      <x:c r="I118" s="54" t="n">
        <x:f>100*B118/'Charts'!$AJ$7</x:f>
        <x:v>32.21385719327138</x:v>
      </x:c>
      <x:c r="J118" s="54" t="n">
        <x:f>100*C118/'Charts'!$AK$7</x:f>
        <x:v>29.499189969711914</x:v>
      </x:c>
    </x:row>
    <x:row r="119" ht="23" customHeight="1">
      <x:c r="A119" s="16" t="d">
        <x:v>1933-10-01T00:00:00.000Z</x:v>
      </x:c>
      <x:c r="B119" s="6" t="n">
        <x:v>574.5</x:v>
      </x:c>
      <x:c r="C119" s="6" t="n">
        <x:v>530</x:v>
      </x:c>
      <x:c r="D119" s="17" t="n">
        <x:f>B119-C119</x:f>
        <x:v>44.5</x:v>
      </x:c>
      <x:c r="E119" s="52" t="n">
        <x:f>B119+C119</x:f>
        <x:v>1104.5</x:v>
      </x:c>
      <x:c r="F119" s="53" t="n">
        <x:f>100*B119/C119</x:f>
        <x:v>108.39622641509433</x:v>
      </x:c>
      <x:c r="G119" s="53" t="n">
        <x:f>100*(B119/SUMIFS($B$2:$B$181,$A$2:$A$181,EDATE(A119,-12))-1)</x:f>
        <x:v>-17.83466819221968</x:v>
      </x:c>
      <x:c r="H119" s="53" t="n">
        <x:f>100*(C119/SUMIFS($C$2:$C$181,$A$2:$A$181,EDATE(A119,-12))-1)</x:f>
        <x:v>-14.763589578642645</x:v>
      </x:c>
      <x:c r="I119" s="54" t="n">
        <x:f>100*B119/'Charts'!$AJ$7</x:f>
        <x:v>33.79014233619574</x:v>
      </x:c>
      <x:c r="J119" s="54" t="n">
        <x:f>100*C119/'Charts'!$AK$7</x:f>
        <x:v>31.998712001529498</x:v>
      </x:c>
    </x:row>
    <x:row r="120" ht="23" customHeight="1">
      <x:c r="A120" s="16" t="d">
        <x:v>1933-11-01T00:00:00.000Z</x:v>
      </x:c>
      <x:c r="B120" s="6" t="n">
        <x:v>562.8</x:v>
      </x:c>
      <x:c r="C120" s="6" t="n">
        <x:v>597.8</x:v>
      </x:c>
      <x:c r="D120" s="17" t="n">
        <x:f>B120-C120</x:f>
        <x:v>-35</x:v>
      </x:c>
      <x:c r="E120" s="52" t="n">
        <x:f>B120+C120</x:f>
        <x:v>1160.6</x:v>
      </x:c>
      <x:c r="F120" s="53" t="n">
        <x:f>100*B120/C120</x:f>
        <x:v>94.14519906323184</x:v>
      </x:c>
      <x:c r="G120" s="53" t="n">
        <x:f>100*(B120/SUMIFS($B$2:$B$181,$A$2:$A$181,EDATE(A120,-12))-1)</x:f>
        <x:v>-11.18825942875179</x:v>
      </x:c>
      <x:c r="H120" s="53" t="n">
        <x:f>100*(C120/SUMIFS($C$2:$C$181,$A$2:$A$181,EDATE(A120,-12))-1)</x:f>
        <x:v>-2.1443771484694785</x:v>
      </x:c>
      <x:c r="I120" s="54" t="n">
        <x:f>100*B120/'Charts'!$AJ$7</x:f>
        <x:v>33.10198800141159</x:v>
      </x:c>
      <x:c r="J120" s="54" t="n">
        <x:f>100*C120/'Charts'!$AK$7</x:f>
        <x:v>36.09213214059308</x:v>
      </x:c>
    </x:row>
    <x:row r="121" ht="23" customHeight="1">
      <x:c r="A121" s="16" t="d">
        <x:v>1933-12-01T00:00:00.000Z</x:v>
      </x:c>
      <x:c r="B121" s="6" t="n">
        <x:v>586.9</x:v>
      </x:c>
      <x:c r="C121" s="6" t="n">
        <x:v>582.5</x:v>
      </x:c>
      <x:c r="D121" s="17" t="n">
        <x:f>B121-C121</x:f>
        <x:v>4.399999999999977</x:v>
      </x:c>
      <x:c r="E121" s="52" t="n">
        <x:f>B121+C121</x:f>
        <x:v>1169.4</x:v>
      </x:c>
      <x:c r="F121" s="53" t="n">
        <x:f>100*B121/C121</x:f>
        <x:v>100.75536480686695</x:v>
      </x:c>
      <x:c r="G121" s="53" t="n">
        <x:f>100*(B121/SUMIFS($B$2:$B$181,$A$2:$A$181,EDATE(A121,-12))-1)</x:f>
        <x:v>-13.398258816585518</x:v>
      </x:c>
      <x:c r="H121" s="53" t="n">
        <x:f>100*(C121/SUMIFS($C$2:$C$181,$A$2:$A$181,EDATE(A121,-12))-1)</x:f>
        <x:v>-24.65399042814642</x:v>
      </x:c>
      <x:c r="I121" s="54" t="n">
        <x:f>100*B121/'Charts'!$AJ$7</x:f>
        <x:v>34.51946829784731</x:v>
      </x:c>
      <x:c r="J121" s="54" t="n">
        <x:f>100*C121/'Charts'!$AK$7</x:f>
        <x:v>35.16839573753006</x:v>
      </x:c>
    </x:row>
    <x:row r="122" ht="23" customHeight="1">
      <x:c r="A122" s="16" t="d">
        <x:v>1934-01-01T00:00:00.000Z</x:v>
      </x:c>
      <x:c r="B122" s="6" t="n">
        <x:v>395.3</x:v>
      </x:c>
      <x:c r="C122" s="6" t="n">
        <x:v>372.7</x:v>
      </x:c>
      <x:c r="D122" s="17" t="n">
        <x:f>B122-C122</x:f>
        <x:v>22.600000000000023</x:v>
      </x:c>
      <x:c r="E122" s="52" t="n">
        <x:f>B122+C122</x:f>
        <x:v>768</x:v>
      </x:c>
      <x:c r="F122" s="53" t="n">
        <x:f>100*B122/C122</x:f>
        <x:v>106.0638583310974</x:v>
      </x:c>
      <x:c r="G122" s="53" t="n">
        <x:f>100*(B122/SUMIFS($B$2:$B$181,$A$2:$A$181,EDATE(A122,-12))-1)</x:f>
        <x:v>2.2503879979306696</x:v>
      </x:c>
      <x:c r="H122" s="53" t="n">
        <x:f>100*(C122/SUMIFS($C$2:$C$181,$A$2:$A$181,EDATE(A122,-12))-1)</x:f>
        <x:v>-1.8435607058203796</x:v>
      </x:c>
      <x:c r="I122" s="54" t="n">
        <x:f>100*B122/'Charts'!$AJ$7</x:f>
        <x:v>23.250205858134336</x:v>
      </x:c>
      <x:c r="J122" s="54" t="n">
        <x:f>100*C122/'Charts'!$AK$7</x:f>
        <x:v>22.501735779188763</x:v>
      </x:c>
    </x:row>
    <x:row r="123" ht="23" customHeight="1">
      <x:c r="A123" s="16" t="d">
        <x:v>1934-02-01T00:00:00.000Z</x:v>
      </x:c>
      <x:c r="B123" s="6" t="n">
        <x:v>447</x:v>
      </x:c>
      <x:c r="C123" s="6" t="n">
        <x:v>503.6</x:v>
      </x:c>
      <x:c r="D123" s="17" t="n">
        <x:f>B123-C123</x:f>
        <x:v>-56.60000000000002</x:v>
      </x:c>
      <x:c r="E123" s="52" t="n">
        <x:f>B123+C123</x:f>
        <x:v>950.6</x:v>
      </x:c>
      <x:c r="F123" s="53" t="n">
        <x:f>100*B123/C123</x:f>
        <x:v>88.76092136616361</x:v>
      </x:c>
      <x:c r="G123" s="53" t="n">
        <x:f>100*(B123/SUMIFS($B$2:$B$181,$A$2:$A$181,EDATE(A123,-12))-1)</x:f>
        <x:v>1.4755959137343844</x:v>
      </x:c>
      <x:c r="H123" s="53" t="n">
        <x:f>100*(C123/SUMIFS($C$2:$C$181,$A$2:$A$181,EDATE(A123,-12))-1)</x:f>
        <x:v>36.69923995656896</x:v>
      </x:c>
      <x:c r="I123" s="54" t="n">
        <x:f>100*B123/'Charts'!$AJ$7</x:f>
        <x:v>26.2910245853429</x:v>
      </x:c>
      <x:c r="J123" s="54" t="n">
        <x:f>100*C123/'Charts'!$AK$7</x:f>
        <x:v>30.404813894283503</x:v>
      </x:c>
    </x:row>
    <x:row r="124" ht="23" customHeight="1">
      <x:c r="A124" s="16" t="d">
        <x:v>1934-03-01T00:00:00.000Z</x:v>
      </x:c>
      <x:c r="B124" s="6" t="n">
        <x:v>630.9</x:v>
      </x:c>
      <x:c r="C124" s="6" t="n">
        <x:v>567.7</x:v>
      </x:c>
      <x:c r="D124" s="17" t="n">
        <x:f>B124-C124</x:f>
        <x:v>63.19999999999993</x:v>
      </x:c>
      <x:c r="E124" s="52" t="n">
        <x:f>B124+C124</x:f>
        <x:v>1198.6</x:v>
      </x:c>
      <x:c r="F124" s="53" t="n">
        <x:f>100*B124/C124</x:f>
        <x:v>111.1326404791263</x:v>
      </x:c>
      <x:c r="G124" s="53" t="n">
        <x:f>100*(B124/SUMIFS($B$2:$B$181,$A$2:$A$181,EDATE(A124,-12))-1)</x:f>
        <x:v>33.10126582278481</x:v>
      </x:c>
      <x:c r="H124" s="53" t="n">
        <x:f>100*(C124/SUMIFS($C$2:$C$181,$A$2:$A$181,EDATE(A124,-12))-1)</x:f>
        <x:v>25.51403935441079</x:v>
      </x:c>
      <x:c r="I124" s="54" t="n">
        <x:f>100*B124/'Charts'!$AJ$7</x:f>
        <x:v>37.10739912951417</x:v>
      </x:c>
      <x:c r="J124" s="54" t="n">
        <x:f>100*C124/'Charts'!$AK$7</x:f>
        <x:v>34.274846798619436</x:v>
      </x:c>
    </x:row>
    <x:row r="125" ht="23" customHeight="1">
      <x:c r="A125" s="16" t="d">
        <x:v>1934-04-01T00:00:00.000Z</x:v>
      </x:c>
      <x:c r="B125" s="6" t="n">
        <x:v>550.8</x:v>
      </x:c>
      <x:c r="C125" s="6" t="n">
        <x:v>574.9</x:v>
      </x:c>
      <x:c r="D125" s="17" t="n">
        <x:f>B125-C125</x:f>
        <x:v>-24.100000000000023</x:v>
      </x:c>
      <x:c r="E125" s="52" t="n">
        <x:f>B125+C125</x:f>
        <x:v>1125.6999999999998</x:v>
      </x:c>
      <x:c r="F125" s="53" t="n">
        <x:f>100*B125/C125</x:f>
        <x:v>95.80796660288745</x:v>
      </x:c>
      <x:c r="G125" s="53" t="n">
        <x:f>100*(B125/SUMIFS($B$2:$B$181,$A$2:$A$181,EDATE(A125,-12))-1)</x:f>
        <x:v>34.37423761893144</x:v>
      </x:c>
      <x:c r="H125" s="53" t="n">
        <x:f>100*(C125/SUMIFS($C$2:$C$181,$A$2:$A$181,EDATE(A125,-12))-1)</x:f>
        <x:v>34.668540641836486</x:v>
      </x:c>
      <x:c r="I125" s="54" t="n">
        <x:f>100*B125/'Charts'!$AJ$7</x:f>
        <x:v>32.396188683684265</x:v>
      </x:c>
      <x:c r="J125" s="54" t="n">
        <x:f>100*C125/'Charts'!$AK$7</x:f>
        <x:v>34.70954628241379</x:v>
      </x:c>
    </x:row>
    <x:row r="126" ht="23" customHeight="1">
      <x:c r="A126" s="16" t="d">
        <x:v>1934-05-01T00:00:00.000Z</x:v>
      </x:c>
      <x:c r="B126" s="6" t="n">
        <x:v>538.6</x:v>
      </x:c>
      <x:c r="C126" s="6" t="n">
        <x:v>520.2</x:v>
      </x:c>
      <x:c r="D126" s="17" t="n">
        <x:f>B126-C126</x:f>
        <x:v>18.399999999999977</x:v>
      </x:c>
      <x:c r="E126" s="52" t="n">
        <x:f>B126+C126</x:f>
        <x:v>1058.8000000000002</x:v>
      </x:c>
      <x:c r="F126" s="53" t="n">
        <x:f>100*B126/C126</x:f>
        <x:v>103.53710111495577</x:v>
      </x:c>
      <x:c r="G126" s="53" t="n">
        <x:f>100*(B126/SUMIFS($B$2:$B$181,$A$2:$A$181,EDATE(A126,-12))-1)</x:f>
        <x:v>15.952637244348766</x:v>
      </x:c>
      <x:c r="H126" s="53" t="n">
        <x:f>100*(C126/SUMIFS($C$2:$C$181,$A$2:$A$181,EDATE(A126,-12))-1)</x:f>
        <x:v>9.932375316990715</x:v>
      </x:c>
      <x:c r="I126" s="54" t="n">
        <x:f>100*B126/'Charts'!$AJ$7</x:f>
        <x:v>31.67862604399482</x:v>
      </x:c>
      <x:c r="J126" s="54" t="n">
        <x:f>100*C126/'Charts'!$AK$7</x:f>
        <x:v>31.40703770414273</x:v>
      </x:c>
    </x:row>
    <x:row r="127" ht="23" customHeight="1">
      <x:c r="A127" s="16" t="d">
        <x:v>1934-06-01T00:00:00.000Z</x:v>
      </x:c>
      <x:c r="B127" s="6" t="n">
        <x:v>578</x:v>
      </x:c>
      <x:c r="C127" s="6" t="n">
        <x:v>490.8</x:v>
      </x:c>
      <x:c r="D127" s="17" t="n">
        <x:f>B127-C127</x:f>
        <x:v>87.19999999999999</x:v>
      </x:c>
      <x:c r="E127" s="52" t="n">
        <x:f>B127+C127</x:f>
        <x:v>1068.8</x:v>
      </x:c>
      <x:c r="F127" s="53" t="n">
        <x:f>100*B127/C127</x:f>
        <x:v>117.76691116544417</x:v>
      </x:c>
      <x:c r="G127" s="53" t="n">
        <x:f>100*(B127/SUMIFS($B$2:$B$181,$A$2:$A$181,EDATE(A127,-12))-1)</x:f>
        <x:v>27.228703499889928</x:v>
      </x:c>
      <x:c r="H127" s="53" t="n">
        <x:f>100*(C127/SUMIFS($C$2:$C$181,$A$2:$A$181,EDATE(A127,-12))-1)</x:f>
        <x:v>-1.6038492381716063</x:v>
      </x:c>
      <x:c r="I127" s="54" t="n">
        <x:f>100*B127/'Charts'!$AJ$7</x:f>
        <x:v>33.99600047053288</x:v>
      </x:c>
      <x:c r="J127" s="54" t="n">
        <x:f>100*C127/'Charts'!$AK$7</x:f>
        <x:v>29.632014811982412</x:v>
      </x:c>
    </x:row>
    <x:row r="128" ht="23" customHeight="1">
      <x:c r="A128" s="16" t="d">
        <x:v>1934-07-01T00:00:00.000Z</x:v>
      </x:c>
      <x:c r="B128" s="6" t="n">
        <x:v>615.5</x:v>
      </x:c>
      <x:c r="C128" s="6" t="n">
        <x:v>565.6</x:v>
      </x:c>
      <x:c r="D128" s="17" t="n">
        <x:f>B128-C128</x:f>
        <x:v>49.89999999999998</x:v>
      </x:c>
      <x:c r="E128" s="52" t="n">
        <x:f>B128+C128</x:f>
        <x:v>1181.1</x:v>
      </x:c>
      <x:c r="F128" s="53" t="n">
        <x:f>100*B128/C128</x:f>
        <x:v>108.82248939179632</x:v>
      </x:c>
      <x:c r="G128" s="53" t="n">
        <x:f>100*(B128/SUMIFS($B$2:$B$181,$A$2:$A$181,EDATE(A128,-12))-1)</x:f>
        <x:v>23.96777442094662</x:v>
      </x:c>
      <x:c r="H128" s="53" t="n">
        <x:f>100*(C128/SUMIFS($C$2:$C$181,$A$2:$A$181,EDATE(A128,-12))-1)</x:f>
        <x:v>-2.364923183152068</x:v>
      </x:c>
      <x:c r="I128" s="54" t="n">
        <x:f>100*B128/'Charts'!$AJ$7</x:f>
        <x:v>36.20162333843077</x:v>
      </x:c>
      <x:c r="J128" s="54" t="n">
        <x:f>100*C128/'Charts'!$AK$7</x:f>
        <x:v>34.14805944917941</x:v>
      </x:c>
    </x:row>
    <x:row r="129" ht="23" customHeight="1">
      <x:c r="A129" s="16" t="d">
        <x:v>1934-08-01T00:00:00.000Z</x:v>
      </x:c>
      <x:c r="B129" s="6" t="n">
        <x:v>595.5</x:v>
      </x:c>
      <x:c r="C129" s="6" t="n">
        <x:v>487.9</x:v>
      </x:c>
      <x:c r="D129" s="17" t="n">
        <x:f>B129-C129</x:f>
        <x:v>107.60000000000002</x:v>
      </x:c>
      <x:c r="E129" s="52" t="n">
        <x:f>B129+C129</x:f>
        <x:v>1083.4</x:v>
      </x:c>
      <x:c r="F129" s="53" t="n">
        <x:f>100*B129/C129</x:f>
        <x:v>122.05369952859193</x:v>
      </x:c>
      <x:c r="G129" s="53" t="n">
        <x:f>100*(B129/SUMIFS($B$2:$B$181,$A$2:$A$181,EDATE(A129,-12))-1)</x:f>
        <x:v>34.36371841155235</x:v>
      </x:c>
      <x:c r="H129" s="53" t="n">
        <x:f>100*(C129/SUMIFS($C$2:$C$181,$A$2:$A$181,EDATE(A129,-12))-1)</x:f>
        <x:v>15.479289940828389</x:v>
      </x:c>
      <x:c r="I129" s="54" t="n">
        <x:f>100*B129/'Charts'!$AJ$7</x:f>
        <x:v>35.02529114221856</x:v>
      </x:c>
      <x:c r="J129" s="54" t="n">
        <x:f>100*C129/'Charts'!$AK$7</x:f>
        <x:v>29.45692751989857</x:v>
      </x:c>
    </x:row>
    <x:row r="130" ht="23" customHeight="1">
      <x:c r="A130" s="16" t="d">
        <x:v>1934-09-01T00:00:00.000Z</x:v>
      </x:c>
      <x:c r="B130" s="6" t="n">
        <x:v>751.7</x:v>
      </x:c>
      <x:c r="C130" s="6" t="n">
        <x:v>497.1</x:v>
      </x:c>
      <x:c r="D130" s="17" t="n">
        <x:f>B130-C130</x:f>
        <x:v>254.60000000000002</x:v>
      </x:c>
      <x:c r="E130" s="52" t="n">
        <x:f>B130+C130</x:f>
        <x:v>1248.8000000000002</x:v>
      </x:c>
      <x:c r="F130" s="53" t="n">
        <x:f>100*B130/C130</x:f>
        <x:v>151.2170589418628</x:v>
      </x:c>
      <x:c r="G130" s="53" t="n">
        <x:f>100*(B130/SUMIFS($B$2:$B$181,$A$2:$A$181,EDATE(A130,-12))-1)</x:f>
        <x:v>37.246667883878025</x:v>
      </x:c>
      <x:c r="H130" s="53" t="n">
        <x:f>100*(C130/SUMIFS($C$2:$C$181,$A$2:$A$181,EDATE(A130,-12))-1)</x:f>
        <x:v>1.7396643471142115</x:v>
      </x:c>
      <x:c r="I130" s="54" t="n">
        <x:f>100*B130/'Charts'!$AJ$7</x:f>
        <x:v>44.21244559463592</x:v>
      </x:c>
      <x:c r="J130" s="54" t="n">
        <x:f>100*C130/'Charts'!$AK$7</x:f>
        <x:v>30.012376860302478</x:v>
      </x:c>
    </x:row>
    <x:row r="131" ht="23" customHeight="1">
      <x:c r="A131" s="16" t="d">
        <x:v>1934-10-01T00:00:00.000Z</x:v>
      </x:c>
      <x:c r="B131" s="6" t="n">
        <x:v>723.1</x:v>
      </x:c>
      <x:c r="C131" s="6" t="n">
        <x:v>585.1</x:v>
      </x:c>
      <x:c r="D131" s="17" t="n">
        <x:f>B131-C131</x:f>
        <x:v>138</x:v>
      </x:c>
      <x:c r="E131" s="52" t="n">
        <x:f>B131+C131</x:f>
        <x:v>1308.2</x:v>
      </x:c>
      <x:c r="F131" s="53" t="n">
        <x:f>100*B131/C131</x:f>
        <x:v>123.58571184412921</x:v>
      </x:c>
      <x:c r="G131" s="53" t="n">
        <x:f>100*(B131/SUMIFS($B$2:$B$181,$A$2:$A$181,EDATE(A131,-12))-1)</x:f>
        <x:v>25.865970409051343</x:v>
      </x:c>
      <x:c r="H131" s="53" t="n">
        <x:f>100*(C131/SUMIFS($C$2:$C$181,$A$2:$A$181,EDATE(A131,-12))-1)</x:f>
        <x:v>10.396226415094345</x:v>
      </x:c>
      <x:c r="I131" s="54" t="n">
        <x:f>100*B131/'Charts'!$AJ$7</x:f>
        <x:v>42.53029055405246</x:v>
      </x:c>
      <x:c r="J131" s="54" t="n">
        <x:f>100*C131/'Charts'!$AK$7</x:f>
        <x:v>35.325370551122475</x:v>
      </x:c>
    </x:row>
    <x:row r="132" ht="23" customHeight="1">
      <x:c r="A132" s="16" t="d">
        <x:v>1934-11-01T00:00:00.000Z</x:v>
      </x:c>
      <x:c r="B132" s="6" t="n">
        <x:v>692.7</x:v>
      </x:c>
      <x:c r="C132" s="6" t="n">
        <x:v>595</x:v>
      </x:c>
      <x:c r="D132" s="17" t="n">
        <x:f>B132-C132</x:f>
        <x:v>97.70000000000005</x:v>
      </x:c>
      <x:c r="E132" s="52" t="n">
        <x:f>B132+C132</x:f>
        <x:v>1287.7</x:v>
      </x:c>
      <x:c r="F132" s="53" t="n">
        <x:f>100*B132/C132</x:f>
        <x:v>116.4201680672269</x:v>
      </x:c>
      <x:c r="G132" s="53" t="n">
        <x:f>100*(B132/SUMIFS($B$2:$B$181,$A$2:$A$181,EDATE(A132,-12))-1)</x:f>
        <x:v>23.08102345415779</x:v>
      </x:c>
      <x:c r="H132" s="53" t="n">
        <x:f>100*(C132/SUMIFS($C$2:$C$181,$A$2:$A$181,EDATE(A132,-12))-1)</x:f>
        <x:v>-0.4683840749414414</x:v>
      </x:c>
      <x:c r="I132" s="54" t="n">
        <x:f>100*B132/'Charts'!$AJ$7</x:f>
        <x:v>40.742265615809906</x:v>
      </x:c>
      <x:c r="J132" s="54" t="n">
        <x:f>100*C132/'Charts'!$AK$7</x:f>
        <x:v>35.92308234133972</x:v>
      </x:c>
    </x:row>
    <x:row r="133" ht="23" customHeight="1">
      <x:c r="A133" s="16" t="d">
        <x:v>1934-12-01T00:00:00.000Z</x:v>
      </x:c>
      <x:c r="B133" s="6" t="n">
        <x:v>756.7</x:v>
      </x:c>
      <x:c r="C133" s="6" t="n">
        <x:v>603.3</x:v>
      </x:c>
      <x:c r="D133" s="17" t="n">
        <x:f>B133-C133</x:f>
        <x:v>153.4000000000001</x:v>
      </x:c>
      <x:c r="E133" s="52" t="n">
        <x:f>B133+C133</x:f>
        <x:v>1360</x:v>
      </x:c>
      <x:c r="F133" s="53" t="n">
        <x:f>100*B133/C133</x:f>
        <x:v>125.42681916127964</x:v>
      </x:c>
      <x:c r="G133" s="53" t="n">
        <x:f>100*(B133/SUMIFS($B$2:$B$181,$A$2:$A$181,EDATE(A133,-12))-1)</x:f>
        <x:v>28.931674902027616</x:v>
      </x:c>
      <x:c r="H133" s="53" t="n">
        <x:f>100*(C133/SUMIFS($C$2:$C$181,$A$2:$A$181,EDATE(A133,-12))-1)</x:f>
        <x:v>3.5708154506437717</x:v>
      </x:c>
      <x:c r="I133" s="54" t="n">
        <x:f>100*B133/'Charts'!$AJ$7</x:f>
        <x:v>44.50652864368897</x:v>
      </x:c>
      <x:c r="J133" s="54" t="n">
        <x:f>100*C133/'Charts'!$AK$7</x:f>
        <x:v>36.42419424626933</x:v>
      </x:c>
    </x:row>
    <x:row r="134" ht="23" customHeight="1">
      <x:c r="A134" s="16" t="d">
        <x:v>1935-01-01T00:00:00.000Z</x:v>
      </x:c>
      <x:c r="B134" s="6" t="n">
        <x:v>473.8</x:v>
      </x:c>
      <x:c r="C134" s="6" t="n">
        <x:v>413.6</x:v>
      </x:c>
      <x:c r="D134" s="17" t="n">
        <x:f>B134-C134</x:f>
        <x:v>60.19999999999999</x:v>
      </x:c>
      <x:c r="E134" s="52" t="n">
        <x:f>B134+C134</x:f>
        <x:v>887.4000000000001</x:v>
      </x:c>
      <x:c r="F134" s="53" t="n">
        <x:f>100*B134/C134</x:f>
        <x:v>114.55512572533848</x:v>
      </x:c>
      <x:c r="G134" s="53" t="n">
        <x:f>100*(B134/SUMIFS($B$2:$B$181,$A$2:$A$181,EDATE(A134,-12))-1)</x:f>
        <x:v>19.858335441436893</x:v>
      </x:c>
      <x:c r="H134" s="53" t="n">
        <x:f>100*(C134/SUMIFS($C$2:$C$181,$A$2:$A$181,EDATE(A134,-12))-1)</x:f>
        <x:v>10.973973705393082</x:v>
      </x:c>
      <x:c r="I134" s="54" t="n">
        <x:f>100*B134/'Charts'!$AJ$7</x:f>
        <x:v>27.867309728267262</x:v>
      </x:c>
      <x:c r="J134" s="54" t="n">
        <x:f>100*C134/'Charts'!$AK$7</x:f>
        <x:v>24.971070346853963</x:v>
      </x:c>
    </x:row>
    <x:row r="135" ht="23" customHeight="1">
      <x:c r="A135" s="16" t="d">
        <x:v>1935-02-01T00:00:00.000Z</x:v>
      </x:c>
      <x:c r="B135" s="6" t="n">
        <x:v>518.6</x:v>
      </x:c>
      <x:c r="C135" s="6" t="n">
        <x:v>414.3</x:v>
      </x:c>
      <x:c r="D135" s="17" t="n">
        <x:f>B135-C135</x:f>
        <x:v>104.30000000000001</x:v>
      </x:c>
      <x:c r="E135" s="52" t="n">
        <x:f>B135+C135</x:f>
        <x:v>932.9000000000001</x:v>
      </x:c>
      <x:c r="F135" s="53" t="n">
        <x:f>100*B135/C135</x:f>
        <x:v>125.17499396572532</x:v>
      </x:c>
      <x:c r="G135" s="53" t="n">
        <x:f>100*(B135/SUMIFS($B$2:$B$181,$A$2:$A$181,EDATE(A135,-12))-1)</x:f>
        <x:v>16.01789709172261</x:v>
      </x:c>
      <x:c r="H135" s="53" t="n">
        <x:f>100*(C135/SUMIFS($C$2:$C$181,$A$2:$A$181,EDATE(A135,-12))-1)</x:f>
        <x:v>-17.732327243844324</x:v>
      </x:c>
      <x:c r="I135" s="54" t="n">
        <x:f>100*B135/'Charts'!$AJ$7</x:f>
        <x:v>30.502293847782614</x:v>
      </x:c>
      <x:c r="J135" s="54" t="n">
        <x:f>100*C135/'Charts'!$AK$7</x:f>
        <x:v>25.013332796667306</x:v>
      </x:c>
    </x:row>
    <x:row r="136" ht="23" customHeight="1">
      <x:c r="A136" s="16" t="d">
        <x:v>1935-03-01T00:00:00.000Z</x:v>
      </x:c>
      <x:c r="B136" s="6" t="n">
        <x:v>584</x:v>
      </x:c>
      <x:c r="C136" s="6" t="n">
        <x:v>516</x:v>
      </x:c>
      <x:c r="D136" s="17" t="n">
        <x:f>B136-C136</x:f>
        <x:v>68</x:v>
      </x:c>
      <x:c r="E136" s="52" t="n">
        <x:f>B136+C136</x:f>
        <x:v>1100</x:v>
      </x:c>
      <x:c r="F136" s="53" t="n">
        <x:f>100*B136/C136</x:f>
        <x:v>113.17829457364341</x:v>
      </x:c>
      <x:c r="G136" s="53" t="n">
        <x:f>100*(B136/SUMIFS($B$2:$B$181,$A$2:$A$181,EDATE(A136,-12))-1)</x:f>
        <x:v>-7.433824694880331</x:v>
      </x:c>
      <x:c r="H136" s="53" t="n">
        <x:f>100*(C136/SUMIFS($C$2:$C$181,$A$2:$A$181,EDATE(A136,-12))-1)</x:f>
        <x:v>-9.106922670424522</x:v>
      </x:c>
      <x:c r="I136" s="54" t="n">
        <x:f>100*B136/'Charts'!$AJ$7</x:f>
        <x:v>34.34890012939654</x:v>
      </x:c>
      <x:c r="J136" s="54" t="n">
        <x:f>100*C136/'Charts'!$AK$7</x:f>
        <x:v>31.153463005262683</x:v>
      </x:c>
    </x:row>
    <x:row r="137" ht="23" customHeight="1">
      <x:c r="A137" s="16" t="d">
        <x:v>1935-04-01T00:00:00.000Z</x:v>
      </x:c>
      <x:c r="B137" s="6" t="n">
        <x:v>620.7</x:v>
      </x:c>
      <x:c r="C137" s="6" t="n">
        <x:v>516.9</x:v>
      </x:c>
      <x:c r="D137" s="17" t="n">
        <x:f>B137-C137</x:f>
        <x:v>103.80000000000007</x:v>
      </x:c>
      <x:c r="E137" s="52" t="n">
        <x:f>B137+C137</x:f>
        <x:v>1137.6</x:v>
      </x:c>
      <x:c r="F137" s="53" t="n">
        <x:f>100*B137/C137</x:f>
        <x:v>120.0812536273941</x:v>
      </x:c>
      <x:c r="G137" s="53" t="n">
        <x:f>100*(B137/SUMIFS($B$2:$B$181,$A$2:$A$181,EDATE(A137,-12))-1)</x:f>
        <x:v>12.690631808278873</x:v>
      </x:c>
      <x:c r="H137" s="53" t="n">
        <x:f>100*(C137/SUMIFS($C$2:$C$181,$A$2:$A$181,EDATE(A137,-12))-1)</x:f>
        <x:v>-10.088711080187862</x:v>
      </x:c>
      <x:c r="I137" s="54" t="n">
        <x:f>100*B137/'Charts'!$AJ$7</x:f>
        <x:v>36.50746970944595</x:v>
      </x:c>
      <x:c r="J137" s="54" t="n">
        <x:f>100*C137/'Charts'!$AK$7</x:f>
        <x:v>31.20780044073698</x:v>
      </x:c>
    </x:row>
    <x:row r="138" ht="23" customHeight="1">
      <x:c r="A138" s="16" t="d">
        <x:v>1935-05-01T00:00:00.000Z</x:v>
      </x:c>
      <x:c r="B138" s="6" t="n">
        <x:v>530.8</x:v>
      </x:c>
      <x:c r="C138" s="6" t="n">
        <x:v>537.9</x:v>
      </x:c>
      <x:c r="D138" s="17" t="n">
        <x:f>B138-C138</x:f>
        <x:v>-7.100000000000023</x:v>
      </x:c>
      <x:c r="E138" s="52" t="n">
        <x:f>B138+C138</x:f>
        <x:v>1068.6999999999998</x:v>
      </x:c>
      <x:c r="F138" s="53" t="n">
        <x:f>100*B138/C138</x:f>
        <x:v>98.68005205428517</x:v>
      </x:c>
      <x:c r="G138" s="53" t="n">
        <x:f>100*(B138/SUMIFS($B$2:$B$181,$A$2:$A$181,EDATE(A138,-12))-1)</x:f>
        <x:v>-1.4481990345339923</x:v>
      </x:c>
      <x:c r="H138" s="53" t="n">
        <x:f>100*(C138/SUMIFS($C$2:$C$181,$A$2:$A$181,EDATE(A138,-12))-1)</x:f>
        <x:v>3.4025374855824575</x:v>
      </x:c>
      <x:c r="I138" s="54" t="n">
        <x:f>100*B138/'Charts'!$AJ$7</x:f>
        <x:v>31.219856487472057</x:v>
      </x:c>
      <x:c r="J138" s="54" t="n">
        <x:f>100*C138/'Charts'!$AK$7</x:f>
        <x:v>32.4756739351372</x:v>
      </x:c>
    </x:row>
    <x:row r="139" ht="23" customHeight="1">
      <x:c r="A139" s="16" t="d">
        <x:v>1935-06-01T00:00:00.000Z</x:v>
      </x:c>
      <x:c r="B139" s="6" t="n">
        <x:v>541.1</x:v>
      </x:c>
      <x:c r="C139" s="6" t="n">
        <x:v>477.1</x:v>
      </x:c>
      <x:c r="D139" s="17" t="n">
        <x:f>B139-C139</x:f>
        <x:v>64</x:v>
      </x:c>
      <x:c r="E139" s="52" t="n">
        <x:f>B139+C139</x:f>
        <x:v>1018.2</x:v>
      </x:c>
      <x:c r="F139" s="53" t="n">
        <x:f>100*B139/C139</x:f>
        <x:v>113.41437853699433</x:v>
      </x:c>
      <x:c r="G139" s="53" t="n">
        <x:f>100*(B139/SUMIFS($B$2:$B$181,$A$2:$A$181,EDATE(A139,-12))-1)</x:f>
        <x:v>-6.384083044982692</x:v>
      </x:c>
      <x:c r="H139" s="53" t="n">
        <x:f>100*(C139/SUMIFS($C$2:$C$181,$A$2:$A$181,EDATE(A139,-12))-1)</x:f>
        <x:v>-2.7913610431947844</x:v>
      </x:c>
      <x:c r="I139" s="54" t="n">
        <x:f>100*B139/'Charts'!$AJ$7</x:f>
        <x:v>31.82566756852135</x:v>
      </x:c>
      <x:c r="J139" s="54" t="n">
        <x:f>100*C139/'Charts'!$AK$7</x:f>
        <x:v>28.804878294207025</x:v>
      </x:c>
    </x:row>
    <x:row r="140" ht="23" customHeight="1">
      <x:c r="A140" s="16" t="d">
        <x:v>1935-07-01T00:00:00.000Z</x:v>
      </x:c>
      <x:c r="B140" s="6" t="n">
        <x:v>572.3</x:v>
      </x:c>
      <x:c r="C140" s="6" t="n">
        <x:v>485.5</x:v>
      </x:c>
      <x:c r="D140" s="17" t="n">
        <x:f>B140-C140</x:f>
        <x:v>86.79999999999995</x:v>
      </x:c>
      <x:c r="E140" s="52" t="n">
        <x:f>B140+C140</x:f>
        <x:v>1057.8</x:v>
      </x:c>
      <x:c r="F140" s="53" t="n">
        <x:f>100*B140/C140</x:f>
        <x:v>117.87847579814623</x:v>
      </x:c>
      <x:c r="G140" s="53" t="n">
        <x:f>100*(B140/SUMIFS($B$2:$B$181,$A$2:$A$181,EDATE(A140,-12))-1)</x:f>
        <x:v>-7.018683996750619</x:v>
      </x:c>
      <x:c r="H140" s="53" t="n">
        <x:f>100*(C140/SUMIFS($C$2:$C$181,$A$2:$A$181,EDATE(A140,-12))-1)</x:f>
        <x:v>-14.161951909476667</x:v>
      </x:c>
      <x:c r="I140" s="54" t="n">
        <x:f>100*B140/'Charts'!$AJ$7</x:f>
        <x:v>33.660745794612396</x:v>
      </x:c>
      <x:c r="J140" s="54" t="n">
        <x:f>100*C140/'Charts'!$AK$7</x:f>
        <x:v>29.312027691967117</x:v>
      </x:c>
    </x:row>
    <x:row r="141" ht="23" customHeight="1">
      <x:c r="A141" s="16" t="d">
        <x:v>1935-08-01T00:00:00.000Z</x:v>
      </x:c>
      <x:c r="B141" s="6" t="n">
        <x:v>615.1</x:v>
      </x:c>
      <x:c r="C141" s="6" t="n">
        <x:v>524.7</x:v>
      </x:c>
      <x:c r="D141" s="17" t="n">
        <x:f>B141-C141</x:f>
        <x:v>90.39999999999998</x:v>
      </x:c>
      <x:c r="E141" s="52" t="n">
        <x:f>B141+C141</x:f>
        <x:v>1139.8000000000002</x:v>
      </x:c>
      <x:c r="F141" s="53" t="n">
        <x:f>100*B141/C141</x:f>
        <x:v>117.2288927005908</x:v>
      </x:c>
      <x:c r="G141" s="53" t="n">
        <x:f>100*(B141/SUMIFS($B$2:$B$181,$A$2:$A$181,EDATE(A141,-12))-1)</x:f>
        <x:v>3.2913518052057222</x:v>
      </x:c>
      <x:c r="H141" s="53" t="n">
        <x:f>100*(C141/SUMIFS($C$2:$C$181,$A$2:$A$181,EDATE(A141,-12))-1)</x:f>
        <x:v>7.542529206804693</x:v>
      </x:c>
      <x:c r="I141" s="54" t="n">
        <x:f>100*B141/'Charts'!$AJ$7</x:f>
        <x:v>36.17809669450653</x:v>
      </x:c>
      <x:c r="J141" s="54" t="n">
        <x:f>100*C141/'Charts'!$AK$7</x:f>
        <x:v>31.67872488151421</x:v>
      </x:c>
    </x:row>
    <x:row r="142" ht="23" customHeight="1">
      <x:c r="A142" s="16" t="d">
        <x:v>1935-09-01T00:00:00.000Z</x:v>
      </x:c>
      <x:c r="B142" s="6" t="n">
        <x:v>658.8</x:v>
      </x:c>
      <x:c r="C142" s="6" t="n">
        <x:v>622.9</x:v>
      </x:c>
      <x:c r="D142" s="17" t="n">
        <x:f>B142-C142</x:f>
        <x:v>35.89999999999998</x:v>
      </x:c>
      <x:c r="E142" s="52" t="n">
        <x:f>B142+C142</x:f>
        <x:v>1281.6999999999998</x:v>
      </x:c>
      <x:c r="F142" s="53" t="n">
        <x:f>100*B142/C142</x:f>
        <x:v>105.76336490608445</x:v>
      </x:c>
      <x:c r="G142" s="53" t="n">
        <x:f>100*(B142/SUMIFS($B$2:$B$181,$A$2:$A$181,EDATE(A142,-12))-1)</x:f>
        <x:v>-12.358653718238665</x:v>
      </x:c>
      <x:c r="H142" s="53" t="n">
        <x:f>100*(C142/SUMIFS($C$2:$C$181,$A$2:$A$181,EDATE(A142,-12))-1)</x:f>
        <x:v>25.306779320056314</x:v>
      </x:c>
      <x:c r="I142" s="54" t="n">
        <x:f>100*B142/'Charts'!$AJ$7</x:f>
        <x:v>38.74838254323021</x:v>
      </x:c>
      <x:c r="J142" s="54" t="n">
        <x:f>100*C142/'Charts'!$AK$7</x:f>
        <x:v>37.60754284104288</x:v>
      </x:c>
    </x:row>
    <x:row r="143" ht="23" customHeight="1">
      <x:c r="A143" s="16" t="d">
        <x:v>1935-10-01T00:00:00.000Z</x:v>
      </x:c>
      <x:c r="B143" s="6" t="n">
        <x:v>771.4</x:v>
      </x:c>
      <x:c r="C143" s="6" t="n">
        <x:v>657.8</x:v>
      </x:c>
      <x:c r="D143" s="17" t="n">
        <x:f>B143-C143</x:f>
        <x:v>113.60000000000002</x:v>
      </x:c>
      <x:c r="E143" s="52" t="n">
        <x:f>B143+C143</x:f>
        <x:v>1429.1999999999998</x:v>
      </x:c>
      <x:c r="F143" s="53" t="n">
        <x:f>100*B143/C143</x:f>
        <x:v>117.26968683490423</x:v>
      </x:c>
      <x:c r="G143" s="53" t="n">
        <x:f>100*(B143/SUMIFS($B$2:$B$181,$A$2:$A$181,EDATE(A143,-12))-1)</x:f>
        <x:v>6.679574056147142</x:v>
      </x:c>
      <x:c r="H143" s="53" t="n">
        <x:f>100*(C143/SUMIFS($C$2:$C$181,$A$2:$A$181,EDATE(A143,-12))-1)</x:f>
        <x:v>12.425226457015892</x:v>
      </x:c>
      <x:c r="I143" s="54" t="n">
        <x:f>100*B143/'Charts'!$AJ$7</x:f>
        <x:v>45.37113280790495</x:v>
      </x:c>
      <x:c r="J143" s="54" t="n">
        <x:f>100*C143/'Charts'!$AK$7</x:f>
        <x:v>39.714627838879444</x:v>
      </x:c>
    </x:row>
    <x:row r="144" ht="23" customHeight="1">
      <x:c r="A144" s="16" t="d">
        <x:v>1935-11-01T00:00:00.000Z</x:v>
      </x:c>
      <x:c r="B144" s="6" t="n">
        <x:v>823.5</x:v>
      </x:c>
      <x:c r="C144" s="6" t="n">
        <x:v>788.2</x:v>
      </x:c>
      <x:c r="D144" s="17" t="n">
        <x:f>B144-C144</x:f>
        <x:v>35.299999999999955</x:v>
      </x:c>
      <x:c r="E144" s="52" t="n">
        <x:f>B144+C144</x:f>
        <x:v>1611.7</x:v>
      </x:c>
      <x:c r="F144" s="53" t="n">
        <x:f>100*B144/C144</x:f>
        <x:v>104.47855874143617</x:v>
      </x:c>
      <x:c r="G144" s="53" t="n">
        <x:f>100*(B144/SUMIFS($B$2:$B$181,$A$2:$A$181,EDATE(A144,-12))-1)</x:f>
        <x:v>18.882633174534426</x:v>
      </x:c>
      <x:c r="H144" s="53" t="n">
        <x:f>100*(C144/SUMIFS($C$2:$C$181,$A$2:$A$181,EDATE(A144,-12))-1)</x:f>
        <x:v>32.470588235294116</x:v>
      </x:c>
      <x:c r="I144" s="54" t="n">
        <x:f>100*B144/'Charts'!$AJ$7</x:f>
        <x:v>48.43547817903776</x:v>
      </x:c>
      <x:c r="J144" s="54" t="n">
        <x:f>100*C144/'Charts'!$AK$7</x:f>
        <x:v>47.5875184898218</x:v>
      </x:c>
    </x:row>
    <x:row r="145" ht="23" customHeight="1">
      <x:c r="A145" s="16" t="d">
        <x:v>1935-12-01T00:00:00.000Z</x:v>
      </x:c>
      <x:c r="B145" s="6" t="n">
        <x:v>692.7</x:v>
      </x:c>
      <x:c r="C145" s="6" t="n">
        <x:v>752.6</x:v>
      </x:c>
      <x:c r="D145" s="17" t="n">
        <x:f>B145-C145</x:f>
        <x:v>-59.89999999999998</x:v>
      </x:c>
      <x:c r="E145" s="52" t="n">
        <x:f>B145+C145</x:f>
        <x:v>1445.3000000000002</x:v>
      </x:c>
      <x:c r="F145" s="53" t="n">
        <x:f>100*B145/C145</x:f>
        <x:v>92.0409247940473</x:v>
      </x:c>
      <x:c r="G145" s="53" t="n">
        <x:f>100*(B145/SUMIFS($B$2:$B$181,$A$2:$A$181,EDATE(A145,-12))-1)</x:f>
        <x:v>-8.457777190432136</x:v>
      </x:c>
      <x:c r="H145" s="53" t="n">
        <x:f>100*(C145/SUMIFS($C$2:$C$181,$A$2:$A$181,EDATE(A145,-12))-1)</x:f>
        <x:v>24.747223603514023</x:v>
      </x:c>
      <x:c r="I145" s="54" t="n">
        <x:f>100*B145/'Charts'!$AJ$7</x:f>
        <x:v>40.742265615809906</x:v>
      </x:c>
      <x:c r="J145" s="54" t="n">
        <x:f>100*C145/'Charts'!$AK$7</x:f>
        <x:v>45.43817104217189</x:v>
      </x:c>
    </x:row>
    <x:row r="146" ht="23" customHeight="1">
      <x:c r="A146" s="16" t="d">
        <x:v>1936-01-01T00:00:00.000Z</x:v>
      </x:c>
      <x:c r="B146" s="6" t="n">
        <x:v>495.2</x:v>
      </x:c>
      <x:c r="C146" s="6" t="n">
        <x:v>528.6</x:v>
      </x:c>
      <x:c r="D146" s="17" t="n">
        <x:f>B146-C146</x:f>
        <x:v>-33.400000000000034</x:v>
      </x:c>
      <x:c r="E146" s="52" t="n">
        <x:f>B146+C146</x:f>
        <x:v>1023.8</x:v>
      </x:c>
      <x:c r="F146" s="53" t="n">
        <x:f>100*B146/C146</x:f>
        <x:v>93.681422625804</x:v>
      </x:c>
      <x:c r="G146" s="53" t="n">
        <x:f>100*(B146/SUMIFS($B$2:$B$181,$A$2:$A$181,EDATE(A146,-12))-1)</x:f>
        <x:v>4.516673701983964</x:v>
      </x:c>
      <x:c r="H146" s="53" t="n">
        <x:f>100*(C146/SUMIFS($C$2:$C$181,$A$2:$A$181,EDATE(A146,-12))-1)</x:f>
        <x:v>27.804642166344284</x:v>
      </x:c>
      <x:c r="I146" s="54" t="n">
        <x:f>100*B146/'Charts'!$AJ$7</x:f>
        <x:v>29.12598517821433</x:v>
      </x:c>
      <x:c r="J146" s="54" t="n">
        <x:f>100*C146/'Charts'!$AK$7</x:f>
        <x:v>31.91418710190282</x:v>
      </x:c>
    </x:row>
    <x:row r="147" ht="23" customHeight="1">
      <x:c r="A147" s="16" t="d">
        <x:v>1936-02-01T00:00:00.000Z</x:v>
      </x:c>
      <x:c r="B147" s="6" t="n">
        <x:v>600.1</x:v>
      </x:c>
      <x:c r="C147" s="6" t="n">
        <x:v>543.2</x:v>
      </x:c>
      <x:c r="D147" s="17" t="n">
        <x:f>B147-C147</x:f>
        <x:v>56.89999999999998</x:v>
      </x:c>
      <x:c r="E147" s="52" t="n">
        <x:f>B147+C147</x:f>
        <x:v>1143.3000000000002</x:v>
      </x:c>
      <x:c r="F147" s="53" t="n">
        <x:f>100*B147/C147</x:f>
        <x:v>110.47496318114874</x:v>
      </x:c>
      <x:c r="G147" s="53" t="n">
        <x:f>100*(B147/SUMIFS($B$2:$B$181,$A$2:$A$181,EDATE(A147,-12))-1)</x:f>
        <x:v>15.715387581951411</x:v>
      </x:c>
      <x:c r="H147" s="53" t="n">
        <x:f>100*(C147/SUMIFS($C$2:$C$181,$A$2:$A$181,EDATE(A147,-12))-1)</x:f>
        <x:v>31.112720251025827</x:v>
      </x:c>
      <x:c r="I147" s="54" t="n">
        <x:f>100*B147/'Charts'!$AJ$7</x:f>
        <x:v>35.29584754734737</x:v>
      </x:c>
      <x:c r="J147" s="54" t="n">
        <x:f>100*C147/'Charts'!$AK$7</x:f>
        <x:v>32.7956610551525</x:v>
      </x:c>
    </x:row>
    <x:row r="148" ht="23" customHeight="1">
      <x:c r="A148" s="16" t="d">
        <x:v>1936-03-01T00:00:00.000Z</x:v>
      </x:c>
      <x:c r="B148" s="6" t="n">
        <x:v>630.8</x:v>
      </x:c>
      <x:c r="C148" s="6" t="n">
        <x:v>582.8</x:v>
      </x:c>
      <x:c r="D148" s="17" t="n">
        <x:f>B148-C148</x:f>
        <x:v>48</x:v>
      </x:c>
      <x:c r="E148" s="52" t="n">
        <x:f>B148+C148</x:f>
        <x:v>1213.6</x:v>
      </x:c>
      <x:c r="F148" s="53" t="n">
        <x:f>100*B148/C148</x:f>
        <x:v>108.23610157858613</x:v>
      </x:c>
      <x:c r="G148" s="53" t="n">
        <x:f>100*(B148/SUMIFS($B$2:$B$181,$A$2:$A$181,EDATE(A148,-12))-1)</x:f>
        <x:v>8.01369863013699</x:v>
      </x:c>
      <x:c r="H148" s="53" t="n">
        <x:f>100*(C148/SUMIFS($C$2:$C$181,$A$2:$A$181,EDATE(A148,-12))-1)</x:f>
        <x:v>12.945736434108523</x:v>
      </x:c>
      <x:c r="I148" s="54" t="n">
        <x:f>100*B148/'Charts'!$AJ$7</x:f>
        <x:v>37.10151746853311</x:v>
      </x:c>
      <x:c r="J148" s="54" t="n">
        <x:f>100*C148/'Charts'!$AK$7</x:f>
        <x:v>35.186508216021494</x:v>
      </x:c>
    </x:row>
    <x:row r="149" ht="23" customHeight="1">
      <x:c r="A149" s="16" t="d">
        <x:v>1936-04-01T00:00:00.000Z</x:v>
      </x:c>
      <x:c r="B149" s="6" t="n">
        <x:v>575.6</x:v>
      </x:c>
      <x:c r="C149" s="6" t="n">
        <x:v>652.8</x:v>
      </x:c>
      <x:c r="D149" s="17" t="n">
        <x:f>B149-C149</x:f>
        <x:v>-77.19999999999993</x:v>
      </x:c>
      <x:c r="E149" s="52" t="n">
        <x:f>B149+C149</x:f>
        <x:v>1228.4</x:v>
      </x:c>
      <x:c r="F149" s="53" t="n">
        <x:f>100*B149/C149</x:f>
        <x:v>88.17401960784315</x:v>
      </x:c>
      <x:c r="G149" s="53" t="n">
        <x:f>100*(B149/SUMIFS($B$2:$B$181,$A$2:$A$181,EDATE(A149,-12))-1)</x:f>
        <x:v>-7.26599001127759</x:v>
      </x:c>
      <x:c r="H149" s="53" t="n">
        <x:f>100*(C149/SUMIFS($C$2:$C$181,$A$2:$A$181,EDATE(A149,-12))-1)</x:f>
        <x:v>26.291352292513047</x:v>
      </x:c>
      <x:c r="I149" s="54" t="n">
        <x:f>100*B149/'Charts'!$AJ$7</x:f>
        <x:v>33.85484060698741</x:v>
      </x:c>
      <x:c r="J149" s="54" t="n">
        <x:f>100*C149/'Charts'!$AK$7</x:f>
        <x:v>39.41275319735558</x:v>
      </x:c>
    </x:row>
    <x:row r="150" ht="23" customHeight="1">
      <x:c r="A150" s="16" t="d">
        <x:v>1936-05-01T00:00:00.000Z</x:v>
      </x:c>
      <x:c r="B150" s="6" t="n">
        <x:v>646.1</x:v>
      </x:c>
      <x:c r="C150" s="6" t="n">
        <x:v>635.9</x:v>
      </x:c>
      <x:c r="D150" s="17" t="n">
        <x:f>B150-C150</x:f>
        <x:v>10.200000000000045</x:v>
      </x:c>
      <x:c r="E150" s="52" t="n">
        <x:f>B150+C150</x:f>
        <x:v>1282</x:v>
      </x:c>
      <x:c r="F150" s="53" t="n">
        <x:f>100*B150/C150</x:f>
        <x:v>101.60402579021859</x:v>
      </x:c>
      <x:c r="G150" s="53" t="n">
        <x:f>100*(B150/SUMIFS($B$2:$B$181,$A$2:$A$181,EDATE(A150,-12))-1)</x:f>
        <x:v>21.721929163526777</x:v>
      </x:c>
      <x:c r="H150" s="53" t="n">
        <x:f>100*(C150/SUMIFS($C$2:$C$181,$A$2:$A$181,EDATE(A150,-12))-1)</x:f>
        <x:v>18.21899981409183</x:v>
      </x:c>
      <x:c r="I150" s="54" t="n">
        <x:f>100*B150/'Charts'!$AJ$7</x:f>
        <x:v>38.00141159863546</x:v>
      </x:c>
      <x:c r="J150" s="54" t="n">
        <x:f>100*C150/'Charts'!$AK$7</x:f>
        <x:v>38.39241690900492</x:v>
      </x:c>
    </x:row>
    <x:row r="151" ht="23" customHeight="1">
      <x:c r="A151" s="16" t="d">
        <x:v>1936-06-01T00:00:00.000Z</x:v>
      </x:c>
      <x:c r="B151" s="6" t="n">
        <x:v>534.6</x:v>
      </x:c>
      <x:c r="C151" s="6" t="n">
        <x:v>528.7</x:v>
      </x:c>
      <x:c r="D151" s="17" t="n">
        <x:f>B151-C151</x:f>
        <x:v>5.899999999999977</x:v>
      </x:c>
      <x:c r="E151" s="52" t="n">
        <x:f>B151+C151</x:f>
        <x:v>1063.3000000000002</x:v>
      </x:c>
      <x:c r="F151" s="53" t="n">
        <x:f>100*B151/C151</x:f>
        <x:v>101.11594477019102</x:v>
      </x:c>
      <x:c r="G151" s="53" t="n">
        <x:f>100*(B151/SUMIFS($B$2:$B$181,$A$2:$A$181,EDATE(A151,-12))-1)</x:f>
        <x:v>-1.201256699316211</x:v>
      </x:c>
      <x:c r="H151" s="53" t="n">
        <x:f>100*(C151/SUMIFS($C$2:$C$181,$A$2:$A$181,EDATE(A151,-12))-1)</x:f>
        <x:v>10.815342695451701</x:v>
      </x:c>
      <x:c r="I151" s="54" t="n">
        <x:f>100*B151/'Charts'!$AJ$7</x:f>
        <x:v>31.44335960475238</x:v>
      </x:c>
      <x:c r="J151" s="54" t="n">
        <x:f>100*C151/'Charts'!$AK$7</x:f>
        <x:v>31.9202245947333</x:v>
      </x:c>
    </x:row>
    <x:row r="152" ht="23" customHeight="1">
      <x:c r="A152" s="16" t="d">
        <x:v>1936-07-01T00:00:00.000Z</x:v>
      </x:c>
      <x:c r="B152" s="6" t="n">
        <x:v>579.1</x:v>
      </x:c>
      <x:c r="C152" s="6" t="n">
        <x:v>548</x:v>
      </x:c>
      <x:c r="D152" s="17" t="n">
        <x:f>B152-C152</x:f>
        <x:v>31.100000000000023</x:v>
      </x:c>
      <x:c r="E152" s="52" t="n">
        <x:f>B152+C152</x:f>
        <x:v>1127.1</x:v>
      </x:c>
      <x:c r="F152" s="53" t="n">
        <x:f>100*B152/C152</x:f>
        <x:v>105.67518248175182</x:v>
      </x:c>
      <x:c r="G152" s="53" t="n">
        <x:f>100*(B152/SUMIFS($B$2:$B$181,$A$2:$A$181,EDATE(A152,-12))-1)</x:f>
        <x:v>1.1881880132797562</x:v>
      </x:c>
      <x:c r="H152" s="53" t="n">
        <x:f>100*(C152/SUMIFS($C$2:$C$181,$A$2:$A$181,EDATE(A152,-12))-1)</x:f>
        <x:v>12.87332646755921</x:v>
      </x:c>
      <x:c r="I152" s="54" t="n">
        <x:f>100*B152/'Charts'!$AJ$7</x:f>
        <x:v>34.06069874132455</x:v>
      </x:c>
      <x:c r="J152" s="54" t="n">
        <x:f>100*C152/'Charts'!$AK$7</x:f>
        <x:v>33.08546071101541</x:v>
      </x:c>
    </x:row>
    <x:row r="153" ht="23" customHeight="1">
      <x:c r="A153" s="16" t="d">
        <x:v>1936-08-01T00:00:00.000Z</x:v>
      </x:c>
      <x:c r="B153" s="6" t="n">
        <x:v>696</x:v>
      </x:c>
      <x:c r="C153" s="6" t="n">
        <x:v>583.4</x:v>
      </x:c>
      <x:c r="D153" s="17" t="n">
        <x:f>B153-C153</x:f>
        <x:v>112.60000000000002</x:v>
      </x:c>
      <x:c r="E153" s="52" t="n">
        <x:f>B153+C153</x:f>
        <x:v>1279.4</x:v>
      </x:c>
      <x:c r="F153" s="53" t="n">
        <x:f>100*B153/C153</x:f>
        <x:v>119.30065135413096</x:v>
      </x:c>
      <x:c r="G153" s="53" t="n">
        <x:f>100*(B153/SUMIFS($B$2:$B$181,$A$2:$A$181,EDATE(A153,-12))-1)</x:f>
        <x:v>13.152332953991209</x:v>
      </x:c>
      <x:c r="H153" s="53" t="n">
        <x:f>100*(C153/SUMIFS($C$2:$C$181,$A$2:$A$181,EDATE(A153,-12))-1)</x:f>
        <x:v>11.187345149609285</x:v>
      </x:c>
      <x:c r="I153" s="54" t="n">
        <x:f>100*B153/'Charts'!$AJ$7</x:f>
        <x:v>40.93636042818492</x:v>
      </x:c>
      <x:c r="J153" s="54" t="n">
        <x:f>100*C153/'Charts'!$AK$7</x:f>
        <x:v>35.22273317300436</x:v>
      </x:c>
    </x:row>
    <x:row r="154" ht="23" customHeight="1">
      <x:c r="A154" s="16" t="d">
        <x:v>1936-09-01T00:00:00.000Z</x:v>
      </x:c>
      <x:c r="B154" s="6" t="n">
        <x:v>707.7</x:v>
      </x:c>
      <x:c r="C154" s="6" t="n">
        <x:v>610.2</x:v>
      </x:c>
      <x:c r="D154" s="17" t="n">
        <x:f>B154-C154</x:f>
        <x:v>97.5</x:v>
      </x:c>
      <x:c r="E154" s="52" t="n">
        <x:f>B154+C154</x:f>
        <x:v>1317.9</x:v>
      </x:c>
      <x:c r="F154" s="53" t="n">
        <x:f>100*B154/C154</x:f>
        <x:v>115.97836774827924</x:v>
      </x:c>
      <x:c r="G154" s="53" t="n">
        <x:f>100*(B154/SUMIFS($B$2:$B$181,$A$2:$A$181,EDATE(A154,-12))-1)</x:f>
        <x:v>7.422586520947183</x:v>
      </x:c>
      <x:c r="H154" s="53" t="n">
        <x:f>100*(C154/SUMIFS($C$2:$C$181,$A$2:$A$181,EDATE(A154,-12))-1)</x:f>
        <x:v>-2.0388505378070243</x:v>
      </x:c>
      <x:c r="I154" s="54" t="n">
        <x:f>100*B154/'Charts'!$AJ$7</x:f>
        <x:v>41.62451476296906</x:v>
      </x:c>
      <x:c r="J154" s="54" t="n">
        <x:f>100*C154/'Charts'!$AK$7</x:f>
        <x:v>36.84078125157227</x:v>
      </x:c>
    </x:row>
    <x:row r="155" ht="23" customHeight="1">
      <x:c r="A155" s="16" t="d">
        <x:v>1936-10-01T00:00:00.000Z</x:v>
      </x:c>
      <x:c r="B155" s="6" t="n">
        <x:v>767.9</x:v>
      </x:c>
      <x:c r="C155" s="6" t="n">
        <x:v>789.6</x:v>
      </x:c>
      <x:c r="D155" s="17" t="n">
        <x:f>B155-C155</x:f>
        <x:v>-21.700000000000045</x:v>
      </x:c>
      <x:c r="E155" s="52" t="n">
        <x:f>B155+C155</x:f>
        <x:v>1557.5</x:v>
      </x:c>
      <x:c r="F155" s="53" t="n">
        <x:f>100*B155/C155</x:f>
        <x:v>97.2517730496454</x:v>
      </x:c>
      <x:c r="G155" s="53" t="n">
        <x:f>100*(B155/SUMIFS($B$2:$B$181,$A$2:$A$181,EDATE(A155,-12))-1)</x:f>
        <x:v>-0.45372050816696596</x:v>
      </x:c>
      <x:c r="H155" s="53" t="n">
        <x:f>100*(C155/SUMIFS($C$2:$C$181,$A$2:$A$181,EDATE(A155,-12))-1)</x:f>
        <x:v>20.036485253876577</x:v>
      </x:c>
      <x:c r="I155" s="54" t="n">
        <x:f>100*B155/'Charts'!$AJ$7</x:f>
        <x:v>45.165274673567815</x:v>
      </x:c>
      <x:c r="J155" s="54" t="n">
        <x:f>100*C155/'Charts'!$AK$7</x:f>
        <x:v>47.672043389448476</x:v>
      </x:c>
    </x:row>
    <x:row r="156" ht="23" customHeight="1">
      <x:c r="A156" s="16" t="d">
        <x:v>1936-11-01T00:00:00.000Z</x:v>
      </x:c>
      <x:c r="B156" s="6" t="n">
        <x:v>862.8</x:v>
      </x:c>
      <x:c r="C156" s="6" t="n">
        <x:v>869.8</x:v>
      </x:c>
      <x:c r="D156" s="17" t="n">
        <x:f>B156-C156</x:f>
        <x:v>-7</x:v>
      </x:c>
      <x:c r="E156" s="52" t="n">
        <x:f>B156+C156</x:f>
        <x:v>1732.6</x:v>
      </x:c>
      <x:c r="F156" s="53" t="n">
        <x:f>100*B156/C156</x:f>
        <x:v>99.19521729133135</x:v>
      </x:c>
      <x:c r="G156" s="53" t="n">
        <x:f>100*(B156/SUMIFS($B$2:$B$181,$A$2:$A$181,EDATE(A156,-12))-1)</x:f>
        <x:v>4.772313296903463</x:v>
      </x:c>
      <x:c r="H156" s="53" t="n">
        <x:f>100*(C156/SUMIFS($C$2:$C$181,$A$2:$A$181,EDATE(A156,-12))-1)</x:f>
        <x:v>10.352702359807143</x:v>
      </x:c>
      <x:c r="I156" s="54" t="n">
        <x:f>100*B156/'Charts'!$AJ$7</x:f>
        <x:v>50.74697094459475</x:v>
      </x:c>
      <x:c r="J156" s="54" t="n">
        <x:f>100*C156/'Charts'!$AK$7</x:f>
        <x:v>52.514112639491245</x:v>
      </x:c>
    </x:row>
    <x:row r="157" ht="23" customHeight="1">
      <x:c r="A157" s="16" t="d">
        <x:v>1936-12-01T00:00:00.000Z</x:v>
      </x:c>
      <x:c r="B157" s="6" t="n">
        <x:v>906.8</x:v>
      </x:c>
      <x:c r="C157" s="6" t="n">
        <x:v>1015.5</x:v>
      </x:c>
      <x:c r="D157" s="17" t="n">
        <x:f>B157-C157</x:f>
        <x:v>-108.70000000000005</x:v>
      </x:c>
      <x:c r="E157" s="52" t="n">
        <x:f>B157+C157</x:f>
        <x:v>1922.3</x:v>
      </x:c>
      <x:c r="F157" s="53" t="n">
        <x:f>100*B157/C157</x:f>
        <x:v>89.2959133431807</x:v>
      </x:c>
      <x:c r="G157" s="53" t="n">
        <x:f>100*(B157/SUMIFS($B$2:$B$181,$A$2:$A$181,EDATE(A157,-12))-1)</x:f>
        <x:v>30.90804099898945</x:v>
      </x:c>
      <x:c r="H157" s="53" t="n">
        <x:f>100*(C157/SUMIFS($C$2:$C$181,$A$2:$A$181,EDATE(A157,-12))-1)</x:f>
        <x:v>34.932234918947636</x:v>
      </x:c>
      <x:c r="I157" s="54" t="n">
        <x:f>100*B157/'Charts'!$AJ$7</x:f>
        <x:v>53.33490177626162</x:v>
      </x:c>
      <x:c r="J157" s="54" t="n">
        <x:f>100*C157/'Charts'!$AK$7</x:f>
        <x:v>61.310739693496615</x:v>
      </x:c>
    </x:row>
    <x:row r="158" ht="23" customHeight="1">
      <x:c r="A158" s="16" t="d">
        <x:v>1937-01-01T00:00:00.000Z</x:v>
      </x:c>
      <x:c r="B158" s="6" t="n">
        <x:v>650</x:v>
      </x:c>
      <x:c r="C158" s="6" t="n">
        <x:v>700</x:v>
      </x:c>
      <x:c r="D158" s="17" t="n">
        <x:f>B158-C158</x:f>
        <x:v>-50</x:v>
      </x:c>
      <x:c r="E158" s="52" t="n">
        <x:f>B158+C158</x:f>
        <x:v>1350</x:v>
      </x:c>
      <x:c r="F158" s="53" t="n">
        <x:f>100*B158/C158</x:f>
        <x:v>92.85714285714286</x:v>
      </x:c>
      <x:c r="G158" s="53" t="n">
        <x:f>100*(B158/SUMIFS($B$2:$B$181,$A$2:$A$181,EDATE(A158,-12))-1)</x:f>
        <x:v>31.26009693053311</x:v>
      </x:c>
      <x:c r="H158" s="53" t="n">
        <x:f>100*(C158/SUMIFS($C$2:$C$181,$A$2:$A$181,EDATE(A158,-12))-1)</x:f>
        <x:v>32.42527430949678</x:v>
      </x:c>
      <x:c r="I158" s="54" t="n">
        <x:f>100*B158/'Charts'!$AJ$7</x:f>
        <x:v>38.23079637689683</x:v>
      </x:c>
      <x:c r="J158" s="54" t="n">
        <x:f>100*C158/'Charts'!$AK$7</x:f>
        <x:v>42.26244981334085</x:v>
      </x:c>
    </x:row>
    <x:row r="159" ht="23" customHeight="1">
      <x:c r="A159" s="16" t="d">
        <x:v>1937-02-01T00:00:00.000Z</x:v>
      </x:c>
      <x:c r="B159" s="6" t="n">
        <x:v>877</x:v>
      </x:c>
      <x:c r="C159" s="6" t="n">
        <x:v>782</x:v>
      </x:c>
      <x:c r="D159" s="17" t="n">
        <x:f>B159-C159</x:f>
        <x:v>95</x:v>
      </x:c>
      <x:c r="E159" s="52" t="n">
        <x:f>B159+C159</x:f>
        <x:v>1659</x:v>
      </x:c>
      <x:c r="F159" s="53" t="n">
        <x:f>100*B159/C159</x:f>
        <x:v>112.14833759590793</x:v>
      </x:c>
      <x:c r="G159" s="53" t="n">
        <x:f>100*(B159/SUMIFS($B$2:$B$181,$A$2:$A$181,EDATE(A159,-12))-1)</x:f>
        <x:v>46.14230961506416</x:v>
      </x:c>
      <x:c r="H159" s="53" t="n">
        <x:f>100*(C159/SUMIFS($C$2:$C$181,$A$2:$A$181,EDATE(A159,-12))-1)</x:f>
        <x:v>43.961708394698064</x:v>
      </x:c>
      <x:c r="I159" s="54" t="n">
        <x:f>100*B159/'Charts'!$AJ$7</x:f>
        <x:v>51.58216680390542</x:v>
      </x:c>
      <x:c r="J159" s="54" t="n">
        <x:f>100*C159/'Charts'!$AK$7</x:f>
        <x:v>47.2131939343322</x:v>
      </x:c>
    </x:row>
    <x:row r="160" ht="23" customHeight="1">
      <x:c r="A160" s="16" t="d">
        <x:v>1937-03-01T00:00:00.000Z</x:v>
      </x:c>
      <x:c r="B160" s="6" t="n">
        <x:v>981</x:v>
      </x:c>
      <x:c r="C160" s="6" t="n">
        <x:v>851</x:v>
      </x:c>
      <x:c r="D160" s="17" t="n">
        <x:f>B160-C160</x:f>
        <x:v>130</x:v>
      </x:c>
      <x:c r="E160" s="52" t="n">
        <x:f>B160+C160</x:f>
        <x:v>1832</x:v>
      </x:c>
      <x:c r="F160" s="53" t="n">
        <x:f>100*B160/C160</x:f>
        <x:v>115.27614571092832</x:v>
      </x:c>
      <x:c r="G160" s="53" t="n">
        <x:f>100*(B160/SUMIFS($B$2:$B$181,$A$2:$A$181,EDATE(A160,-12))-1)</x:f>
        <x:v>55.51680405833863</x:v>
      </x:c>
      <x:c r="H160" s="53" t="n">
        <x:f>100*(C160/SUMIFS($C$2:$C$181,$A$2:$A$181,EDATE(A160,-12))-1)</x:f>
        <x:v>46.01921757035004</x:v>
      </x:c>
      <x:c r="I160" s="54" t="n">
        <x:f>100*B160/'Charts'!$AJ$7</x:f>
        <x:v>57.69909422420891</x:v>
      </x:c>
      <x:c r="J160" s="54" t="n">
        <x:f>100*C160/'Charts'!$AK$7</x:f>
        <x:v>51.37906398736152</x:v>
      </x:c>
    </x:row>
    <x:row r="161" ht="23" customHeight="1">
      <x:c r="A161" s="16" t="d">
        <x:v>1937-04-01T00:00:00.000Z</x:v>
      </x:c>
      <x:c r="B161" s="6" t="n">
        <x:v>952</x:v>
      </x:c>
      <x:c r="C161" s="6" t="n">
        <x:v>1021</x:v>
      </x:c>
      <x:c r="D161" s="17" t="n">
        <x:f>B161-C161</x:f>
        <x:v>-69</x:v>
      </x:c>
      <x:c r="E161" s="52" t="n">
        <x:f>B161+C161</x:f>
        <x:v>1973</x:v>
      </x:c>
      <x:c r="F161" s="53" t="n">
        <x:f>100*B161/C161</x:f>
        <x:v>93.24191968658178</x:v>
      </x:c>
      <x:c r="G161" s="53" t="n">
        <x:f>100*(B161/SUMIFS($B$2:$B$181,$A$2:$A$181,EDATE(A161,-12))-1)</x:f>
        <x:v>65.3926337734538</x:v>
      </x:c>
      <x:c r="H161" s="53" t="n">
        <x:f>100*(C161/SUMIFS($C$2:$C$181,$A$2:$A$181,EDATE(A161,-12))-1)</x:f>
        <x:v>56.40318627450982</x:v>
      </x:c>
      <x:c r="I161" s="54" t="n">
        <x:f>100*B161/'Charts'!$AJ$7</x:f>
        <x:v>55.99341253970121</x:v>
      </x:c>
      <x:c r="J161" s="54" t="n">
        <x:f>100*C161/'Charts'!$AK$7</x:f>
        <x:v>61.642801799172865</x:v>
      </x:c>
    </x:row>
    <x:row r="162" ht="23" customHeight="1">
      <x:c r="A162" s="16" t="d">
        <x:v>1937-05-01T00:00:00.000Z</x:v>
      </x:c>
      <x:c r="B162" s="6" t="n">
        <x:v>1041</x:v>
      </x:c>
      <x:c r="C162" s="6" t="n">
        <x:v>977</x:v>
      </x:c>
      <x:c r="D162" s="17" t="n">
        <x:f>B162-C162</x:f>
        <x:v>64</x:v>
      </x:c>
      <x:c r="E162" s="52" t="n">
        <x:f>B162+C162</x:f>
        <x:v>2018</x:v>
      </x:c>
      <x:c r="F162" s="53" t="n">
        <x:f>100*B162/C162</x:f>
        <x:v>106.55066530194473</x:v>
      </x:c>
      <x:c r="G162" s="53" t="n">
        <x:f>100*(B162/SUMIFS($B$2:$B$181,$A$2:$A$181,EDATE(A162,-12))-1)</x:f>
        <x:v>61.12056957127378</x:v>
      </x:c>
      <x:c r="H162" s="53" t="n">
        <x:f>100*(C162/SUMIFS($C$2:$C$181,$A$2:$A$181,EDATE(A162,-12))-1)</x:f>
        <x:v>53.64050951407455</x:v>
      </x:c>
      <x:c r="I162" s="54" t="n">
        <x:f>100*B162/'Charts'!$AJ$7</x:f>
        <x:v>61.228090812845544</x:v>
      </x:c>
      <x:c r="J162" s="54" t="n">
        <x:f>100*C162/'Charts'!$AK$7</x:f>
        <x:v>58.98630495376287</x:v>
      </x:c>
    </x:row>
    <x:row r="163" ht="23" customHeight="1">
      <x:c r="A163" s="16" t="d">
        <x:v>1937-06-01T00:00:00.000Z</x:v>
      </x:c>
      <x:c r="B163" s="6" t="n">
        <x:v>980</x:v>
      </x:c>
      <x:c r="C163" s="6" t="n">
        <x:v>976</x:v>
      </x:c>
      <x:c r="D163" s="17" t="n">
        <x:f>B163-C163</x:f>
        <x:v>4</x:v>
      </x:c>
      <x:c r="E163" s="52" t="n">
        <x:f>B163+C163</x:f>
        <x:v>1956</x:v>
      </x:c>
      <x:c r="F163" s="53" t="n">
        <x:f>100*B163/C163</x:f>
        <x:v>100.40983606557377</x:v>
      </x:c>
      <x:c r="G163" s="53" t="n">
        <x:f>100*(B163/SUMIFS($B$2:$B$181,$A$2:$A$181,EDATE(A163,-12))-1)</x:f>
        <x:v>83.3146277590722</x:v>
      </x:c>
      <x:c r="H163" s="53" t="n">
        <x:f>100*(C163/SUMIFS($C$2:$C$181,$A$2:$A$181,EDATE(A163,-12))-1)</x:f>
        <x:v>84.60374503499146</x:v>
      </x:c>
      <x:c r="I163" s="54" t="n">
        <x:f>100*B163/'Charts'!$AJ$7</x:f>
        <x:v>57.64027761439831</x:v>
      </x:c>
      <x:c r="J163" s="54" t="n">
        <x:f>100*C163/'Charts'!$AK$7</x:f>
        <x:v>58.925930025458094</x:v>
      </x:c>
    </x:row>
    <x:row r="164" ht="23" customHeight="1">
      <x:c r="A164" s="16" t="d">
        <x:v>1937-07-01T00:00:00.000Z</x:v>
      </x:c>
      <x:c r="B164" s="6" t="n">
        <x:v>874</x:v>
      </x:c>
      <x:c r="C164" s="6" t="n">
        <x:v>832</x:v>
      </x:c>
      <x:c r="D164" s="17" t="n">
        <x:f>B164-C164</x:f>
        <x:v>42</x:v>
      </x:c>
      <x:c r="E164" s="52" t="n">
        <x:f>B164+C164</x:f>
        <x:v>1706</x:v>
      </x:c>
      <x:c r="F164" s="53" t="n">
        <x:f>100*B164/C164</x:f>
        <x:v>105.04807692307692</x:v>
      </x:c>
      <x:c r="G164" s="53" t="n">
        <x:f>100*(B164/SUMIFS($B$2:$B$181,$A$2:$A$181,EDATE(A164,-12))-1)</x:f>
        <x:v>50.92384734933517</x:v>
      </x:c>
      <x:c r="H164" s="53" t="n">
        <x:f>100*(C164/SUMIFS($C$2:$C$181,$A$2:$A$181,EDATE(A164,-12))-1)</x:f>
        <x:v>51.82481751824817</x:v>
      </x:c>
      <x:c r="I164" s="54" t="n">
        <x:f>100*B164/'Charts'!$AJ$7</x:f>
        <x:v>51.40571697447359</x:v>
      </x:c>
      <x:c r="J164" s="54" t="n">
        <x:f>100*C164/'Charts'!$AK$7</x:f>
        <x:v>50.231940349570834</x:v>
      </x:c>
    </x:row>
    <x:row r="165" ht="23" customHeight="1">
      <x:c r="A165" s="16" t="d">
        <x:v>1937-08-01T00:00:00.000Z</x:v>
      </x:c>
      <x:c r="B165" s="6" t="n">
        <x:v>1145</x:v>
      </x:c>
      <x:c r="C165" s="6" t="n">
        <x:v>931</x:v>
      </x:c>
      <x:c r="D165" s="17" t="n">
        <x:f>B165-C165</x:f>
        <x:v>214</x:v>
      </x:c>
      <x:c r="E165" s="52" t="n">
        <x:f>B165+C165</x:f>
        <x:v>2076</x:v>
      </x:c>
      <x:c r="F165" s="53" t="n">
        <x:f>100*B165/C165</x:f>
        <x:v>122.9860365198711</x:v>
      </x:c>
      <x:c r="G165" s="53" t="n">
        <x:f>100*(B165/SUMIFS($B$2:$B$181,$A$2:$A$181,EDATE(A165,-12))-1)</x:f>
        <x:v>64.51149425287358</x:v>
      </x:c>
      <x:c r="H165" s="53" t="n">
        <x:f>100*(C165/SUMIFS($C$2:$C$181,$A$2:$A$181,EDATE(A165,-12))-1)</x:f>
        <x:v>59.581762084333235</x:v>
      </x:c>
      <x:c r="I165" s="54" t="n">
        <x:f>100*B165/'Charts'!$AJ$7</x:f>
        <x:v>67.34501823314903</x:v>
      </x:c>
      <x:c r="J165" s="54" t="n">
        <x:f>100*C165/'Charts'!$AK$7</x:f>
        <x:v>56.20905825174333</x:v>
      </x:c>
    </x:row>
    <x:row r="166" ht="23" customHeight="1">
      <x:c r="A166" s="16" t="d">
        <x:v>1937-09-01T00:00:00.000Z</x:v>
      </x:c>
      <x:c r="B166" s="6" t="n">
        <x:v>1100</x:v>
      </x:c>
      <x:c r="C166" s="6" t="n">
        <x:v>879</x:v>
      </x:c>
      <x:c r="D166" s="17" t="n">
        <x:f>B166-C166</x:f>
        <x:v>221</x:v>
      </x:c>
      <x:c r="E166" s="52" t="n">
        <x:f>B166+C166</x:f>
        <x:v>1979</x:v>
      </x:c>
      <x:c r="F166" s="53" t="n">
        <x:f>100*B166/C166</x:f>
        <x:v>125.14220705346985</x:v>
      </x:c>
      <x:c r="G166" s="53" t="n">
        <x:f>100*(B166/SUMIFS($B$2:$B$181,$A$2:$A$181,EDATE(A166,-12))-1)</x:f>
        <x:v>55.433093118553046</x:v>
      </x:c>
      <x:c r="H166" s="53" t="n">
        <x:f>100*(C166/SUMIFS($C$2:$C$181,$A$2:$A$181,EDATE(A166,-12))-1)</x:f>
        <x:v>44.05113077679448</x:v>
      </x:c>
      <x:c r="I166" s="54" t="n">
        <x:f>100*B166/'Charts'!$AJ$7</x:f>
        <x:v>64.69827079167156</x:v>
      </x:c>
      <x:c r="J166" s="54" t="n">
        <x:f>100*C166/'Charts'!$AK$7</x:f>
        <x:v>53.06956197989515</x:v>
      </x:c>
    </x:row>
    <x:row r="167" ht="23" customHeight="1">
      <x:c r="A167" s="16" t="d">
        <x:v>1937-10-01T00:00:00.000Z</x:v>
      </x:c>
      <x:c r="B167" s="6" t="n">
        <x:v>1125</x:v>
      </x:c>
      <x:c r="C167" s="6" t="n">
        <x:v>960</x:v>
      </x:c>
      <x:c r="D167" s="17" t="n">
        <x:f>B167-C167</x:f>
        <x:v>165</x:v>
      </x:c>
      <x:c r="E167" s="52" t="n">
        <x:f>B167+C167</x:f>
        <x:v>2085</x:v>
      </x:c>
      <x:c r="F167" s="53" t="n">
        <x:f>100*B167/C167</x:f>
        <x:v>117.1875</x:v>
      </x:c>
      <x:c r="G167" s="53" t="n">
        <x:f>100*(B167/SUMIFS($B$2:$B$181,$A$2:$A$181,EDATE(A167,-12))-1)</x:f>
        <x:v>46.503450970178406</x:v>
      </x:c>
      <x:c r="H167" s="53" t="n">
        <x:f>100*(C167/SUMIFS($C$2:$C$181,$A$2:$A$181,EDATE(A167,-12))-1)</x:f>
        <x:v>21.580547112462</x:v>
      </x:c>
      <x:c r="I167" s="54" t="n">
        <x:f>100*B167/'Charts'!$AJ$7</x:f>
        <x:v>66.16868603693683</x:v>
      </x:c>
      <x:c r="J167" s="54" t="n">
        <x:f>100*C167/'Charts'!$AK$7</x:f>
        <x:v>57.95993117258173</x:v>
      </x:c>
    </x:row>
    <x:row r="168" ht="23" customHeight="1">
      <x:c r="A168" s="16" t="d">
        <x:v>1937-11-01T00:00:00.000Z</x:v>
      </x:c>
      <x:c r="B168" s="6" t="n">
        <x:v>1047</x:v>
      </x:c>
      <x:c r="C168" s="6" t="n">
        <x:v>985</x:v>
      </x:c>
      <x:c r="D168" s="17" t="n">
        <x:f>B168-C168</x:f>
        <x:v>62</x:v>
      </x:c>
      <x:c r="E168" s="52" t="n">
        <x:f>B168+C168</x:f>
        <x:v>2032</x:v>
      </x:c>
      <x:c r="F168" s="53" t="n">
        <x:f>100*B168/C168</x:f>
        <x:v>106.29441624365482</x:v>
      </x:c>
      <x:c r="G168" s="53" t="n">
        <x:f>100*(B168/SUMIFS($B$2:$B$181,$A$2:$A$181,EDATE(A168,-12))-1)</x:f>
        <x:v>21.34909596662031</x:v>
      </x:c>
      <x:c r="H168" s="53" t="n">
        <x:f>100*(C168/SUMIFS($C$2:$C$181,$A$2:$A$181,EDATE(A168,-12))-1)</x:f>
        <x:v>13.244424005518507</x:v>
      </x:c>
      <x:c r="I168" s="54" t="n">
        <x:f>100*B168/'Charts'!$AJ$7</x:f>
        <x:v>61.58099047170921</x:v>
      </x:c>
      <x:c r="J168" s="54" t="n">
        <x:f>100*C168/'Charts'!$AK$7</x:f>
        <x:v>59.46930438020105</x:v>
      </x:c>
    </x:row>
    <x:row r="169" ht="23" customHeight="1">
      <x:c r="A169" s="16" t="d">
        <x:v>1937-12-01T00:00:00.000Z</x:v>
      </x:c>
      <x:c r="B169" s="6" t="n">
        <x:v>1200</x:v>
      </x:c>
      <x:c r="C169" s="6" t="n">
        <x:v>1072</x:v>
      </x:c>
      <x:c r="D169" s="17" t="n">
        <x:f>B169-C169</x:f>
        <x:v>128</x:v>
      </x:c>
      <x:c r="E169" s="52" t="n">
        <x:f>B169+C169</x:f>
        <x:v>2272</x:v>
      </x:c>
      <x:c r="F169" s="53" t="n">
        <x:f>100*B169/C169</x:f>
        <x:v>111.94029850746269</x:v>
      </x:c>
      <x:c r="G169" s="53" t="n">
        <x:f>100*(B169/SUMIFS($B$2:$B$181,$A$2:$A$181,EDATE(A169,-12))-1)</x:f>
        <x:v>32.33348037053376</x:v>
      </x:c>
      <x:c r="H169" s="53" t="n">
        <x:f>100*(C169/SUMIFS($C$2:$C$181,$A$2:$A$181,EDATE(A169,-12))-1)</x:f>
        <x:v>5.563761693746927</x:v>
      </x:c>
      <x:c r="I169" s="54" t="n">
        <x:f>100*B169/'Charts'!$AJ$7</x:f>
        <x:v>70.57993177273262</x:v>
      </x:c>
      <x:c r="J169" s="54" t="n">
        <x:f>100*C169/'Charts'!$AK$7</x:f>
        <x:v>64.72192314271626</x:v>
      </x:c>
    </x:row>
    <x:row r="170" ht="23" customHeight="1">
      <x:c r="A170" s="16" t="d">
        <x:v>1938-01-01T00:00:00.000Z</x:v>
      </x:c>
      <x:c r="B170" s="6" t="n">
        <x:v>939</x:v>
      </x:c>
      <x:c r="C170" s="6" t="n">
        <x:v>668</x:v>
      </x:c>
      <x:c r="D170" s="17" t="n">
        <x:f>B170-C170</x:f>
        <x:v>271</x:v>
      </x:c>
      <x:c r="E170" s="52" t="n">
        <x:f>B170+C170</x:f>
        <x:v>1607</x:v>
      </x:c>
      <x:c r="F170" s="53" t="n">
        <x:f>100*B170/C170</x:f>
        <x:v>140.5688622754491</x:v>
      </x:c>
      <x:c r="G170" s="53" t="n">
        <x:f>100*(B170/SUMIFS($B$2:$B$181,$A$2:$A$181,EDATE(A170,-12))-1)</x:f>
        <x:v>44.46153846153847</x:v>
      </x:c>
      <x:c r="H170" s="53" t="n">
        <x:f>100*(C170/SUMIFS($C$2:$C$181,$A$2:$A$181,EDATE(A170,-12))-1)</x:f>
        <x:v>-4.571428571428571</x:v>
      </x:c>
      <x:c r="I170" s="54" t="n">
        <x:f>100*B170/'Charts'!$AJ$7</x:f>
        <x:v>55.22879661216327</x:v>
      </x:c>
      <x:c r="J170" s="54" t="n">
        <x:f>100*C170/'Charts'!$AK$7</x:f>
        <x:v>40.33045210758812</x:v>
      </x:c>
    </x:row>
    <x:row r="171" ht="23" customHeight="1">
      <x:c r="A171" s="16" t="d">
        <x:v>1938-02-01T00:00:00.000Z</x:v>
      </x:c>
      <x:c r="B171" s="6" t="n">
        <x:v>912</x:v>
      </x:c>
      <x:c r="C171" s="6" t="n">
        <x:v>757</x:v>
      </x:c>
      <x:c r="D171" s="17" t="n">
        <x:f>B171-C171</x:f>
        <x:v>155</x:v>
      </x:c>
      <x:c r="E171" s="52" t="n">
        <x:f>B171+C171</x:f>
        <x:v>1669</x:v>
      </x:c>
      <x:c r="F171" s="53" t="n">
        <x:f>100*B171/C171</x:f>
        <x:v>120.47556142668428</x:v>
      </x:c>
      <x:c r="G171" s="53" t="n">
        <x:f>100*(B171/SUMIFS($B$2:$B$181,$A$2:$A$181,EDATE(A171,-12))-1)</x:f>
        <x:v>3.9908779931584926</x:v>
      </x:c>
      <x:c r="H171" s="53" t="n">
        <x:f>100*(C171/SUMIFS($C$2:$C$181,$A$2:$A$181,EDATE(A171,-12))-1)</x:f>
        <x:v>-3.196930946291565</x:v>
      </x:c>
      <x:c r="I171" s="54" t="n">
        <x:f>100*B171/'Charts'!$AJ$7</x:f>
        <x:v>53.64074814727679</x:v>
      </x:c>
      <x:c r="J171" s="54" t="n">
        <x:f>100*C171/'Charts'!$AK$7</x:f>
        <x:v>45.70382072671289</x:v>
      </x:c>
    </x:row>
    <x:row r="172" ht="23" customHeight="1">
      <x:c r="A172" s="16" t="d">
        <x:v>1938-03-01T00:00:00.000Z</x:v>
      </x:c>
      <x:c r="B172" s="6" t="n">
        <x:v>1018</x:v>
      </x:c>
      <x:c r="C172" s="6" t="n">
        <x:v>792</x:v>
      </x:c>
      <x:c r="D172" s="17" t="n">
        <x:f>B172-C172</x:f>
        <x:v>226</x:v>
      </x:c>
      <x:c r="E172" s="52" t="n">
        <x:f>B172+C172</x:f>
        <x:v>1810</x:v>
      </x:c>
      <x:c r="F172" s="53" t="n">
        <x:f>100*B172/C172</x:f>
        <x:v>128.53535353535352</x:v>
      </x:c>
      <x:c r="G172" s="53" t="n">
        <x:f>100*(B172/SUMIFS($B$2:$B$181,$A$2:$A$181,EDATE(A172,-12))-1)</x:f>
        <x:v>3.771661569826712</x:v>
      </x:c>
      <x:c r="H172" s="53" t="n">
        <x:f>100*(C172/SUMIFS($C$2:$C$181,$A$2:$A$181,EDATE(A172,-12))-1)</x:f>
        <x:v>-6.933019976498233</x:v>
      </x:c>
      <x:c r="I172" s="54" t="n">
        <x:f>100*B172/'Charts'!$AJ$7</x:f>
        <x:v>59.875308787201504</x:v>
      </x:c>
      <x:c r="J172" s="54" t="n">
        <x:f>100*C172/'Charts'!$AK$7</x:f>
        <x:v>47.81694321737993</x:v>
      </x:c>
    </x:row>
    <x:row r="173" ht="23" customHeight="1">
      <x:c r="A173" s="16" t="d">
        <x:v>1938-04-01T00:00:00.000Z</x:v>
      </x:c>
      <x:c r="B173" s="6" t="n">
        <x:v>932</x:v>
      </x:c>
      <x:c r="C173" s="6" t="n">
        <x:v>820</x:v>
      </x:c>
      <x:c r="D173" s="17" t="n">
        <x:f>B173-C173</x:f>
        <x:v>112</x:v>
      </x:c>
      <x:c r="E173" s="52" t="n">
        <x:f>B173+C173</x:f>
        <x:v>1752</x:v>
      </x:c>
      <x:c r="F173" s="53" t="n">
        <x:f>100*B173/C173</x:f>
        <x:v>113.65853658536585</x:v>
      </x:c>
      <x:c r="G173" s="53" t="n">
        <x:f>100*(B173/SUMIFS($B$2:$B$181,$A$2:$A$181,EDATE(A173,-12))-1)</x:f>
        <x:v>-2.1008403361344574</x:v>
      </x:c>
      <x:c r="H173" s="53" t="n">
        <x:f>100*(C173/SUMIFS($C$2:$C$181,$A$2:$A$181,EDATE(A173,-12))-1)</x:f>
        <x:v>-19.686581782566115</x:v>
      </x:c>
      <x:c r="I173" s="54" t="n">
        <x:f>100*B173/'Charts'!$AJ$7</x:f>
        <x:v>54.817080343489</x:v>
      </x:c>
      <x:c r="J173" s="54" t="n">
        <x:f>100*C173/'Charts'!$AK$7</x:f>
        <x:v>49.507441209913566</x:v>
      </x:c>
    </x:row>
    <x:row r="174" ht="23" customHeight="1">
      <x:c r="A174" s="16" t="d">
        <x:v>1938-05-01T00:00:00.000Z</x:v>
      </x:c>
      <x:c r="B174" s="6" t="n">
        <x:v>994</x:v>
      </x:c>
      <x:c r="C174" s="6" t="n">
        <x:v>828</x:v>
      </x:c>
      <x:c r="D174" s="17" t="n">
        <x:f>B174-C174</x:f>
        <x:v>166</x:v>
      </x:c>
      <x:c r="E174" s="52" t="n">
        <x:f>B174+C174</x:f>
        <x:v>1822</x:v>
      </x:c>
      <x:c r="F174" s="53" t="n">
        <x:f>100*B174/C174</x:f>
        <x:v>120.04830917874396</x:v>
      </x:c>
      <x:c r="G174" s="53" t="n">
        <x:f>100*(B174/SUMIFS($B$2:$B$181,$A$2:$A$181,EDATE(A174,-12))-1)</x:f>
        <x:v>-4.514889529298749</x:v>
      </x:c>
      <x:c r="H174" s="53" t="n">
        <x:f>100*(C174/SUMIFS($C$2:$C$181,$A$2:$A$181,EDATE(A174,-12))-1)</x:f>
        <x:v>-15.25076765609007</x:v>
      </x:c>
      <x:c r="I174" s="54" t="n">
        <x:f>100*B174/'Charts'!$AJ$7</x:f>
        <x:v>58.46371015174685</x:v>
      </x:c>
      <x:c r="J174" s="54" t="n">
        <x:f>100*C174/'Charts'!$AK$7</x:f>
        <x:v>49.99044063635175</x:v>
      </x:c>
    </x:row>
    <x:row r="175" ht="23" customHeight="1">
      <x:c r="A175" s="16" t="d">
        <x:v>1938-06-01T00:00:00.000Z</x:v>
      </x:c>
      <x:c r="B175" s="6" t="n">
        <x:v>865</x:v>
      </x:c>
      <x:c r="C175" s="6" t="n">
        <x:v>786</x:v>
      </x:c>
      <x:c r="D175" s="17" t="n">
        <x:f>B175-C175</x:f>
        <x:v>79</x:v>
      </x:c>
      <x:c r="E175" s="52" t="n">
        <x:f>B175+C175</x:f>
        <x:v>1651</x:v>
      </x:c>
      <x:c r="F175" s="53" t="n">
        <x:f>100*B175/C175</x:f>
        <x:v>110.05089058524173</x:v>
      </x:c>
      <x:c r="G175" s="53" t="n">
        <x:f>100*(B175/SUMIFS($B$2:$B$181,$A$2:$A$181,EDATE(A175,-12))-1)</x:f>
        <x:v>-11.734693877551017</x:v>
      </x:c>
      <x:c r="H175" s="53" t="n">
        <x:f>100*(C175/SUMIFS($C$2:$C$181,$A$2:$A$181,EDATE(A175,-12))-1)</x:f>
        <x:v>-19.467213114754102</x:v>
      </x:c>
      <x:c r="I175" s="54" t="n">
        <x:f>100*B175/'Charts'!$AJ$7</x:f>
        <x:v>50.8763674861781</x:v>
      </x:c>
      <x:c r="J175" s="54" t="n">
        <x:f>100*C175/'Charts'!$AK$7</x:f>
        <x:v>47.454693647551295</x:v>
      </x:c>
    </x:row>
    <x:row r="176" ht="23" customHeight="1">
      <x:c r="A176" s="16" t="d">
        <x:v>1938-07-01T00:00:00.000Z</x:v>
      </x:c>
      <x:c r="B176" s="6" t="n">
        <x:v>912</x:v>
      </x:c>
      <x:c r="C176" s="6" t="n">
        <x:v>761</x:v>
      </x:c>
      <x:c r="D176" s="17" t="n">
        <x:f>B176-C176</x:f>
        <x:v>151</x:v>
      </x:c>
      <x:c r="E176" s="52" t="n">
        <x:f>B176+C176</x:f>
        <x:v>1673</x:v>
      </x:c>
      <x:c r="F176" s="53" t="n">
        <x:f>100*B176/C176</x:f>
        <x:v>119.84231274638633</x:v>
      </x:c>
      <x:c r="G176" s="53" t="n">
        <x:f>100*(B176/SUMIFS($B$2:$B$181,$A$2:$A$181,EDATE(A176,-12))-1)</x:f>
        <x:v>4.347826086956519</x:v>
      </x:c>
      <x:c r="H176" s="53" t="n">
        <x:f>100*(C176/SUMIFS($C$2:$C$181,$A$2:$A$181,EDATE(A176,-12))-1)</x:f>
        <x:v>-8.533653846153843</x:v>
      </x:c>
      <x:c r="I176" s="54" t="n">
        <x:f>100*B176/'Charts'!$AJ$7</x:f>
        <x:v>53.64074814727679</x:v>
      </x:c>
      <x:c r="J176" s="54" t="n">
        <x:f>100*C176/'Charts'!$AK$7</x:f>
        <x:v>45.945320439931976</x:v>
      </x:c>
    </x:row>
    <x:row r="177" ht="23" customHeight="1">
      <x:c r="A177" s="16" t="d">
        <x:v>1938-08-01T00:00:00.000Z</x:v>
      </x:c>
      <x:c r="B177" s="6" t="n">
        <x:v>965</x:v>
      </x:c>
      <x:c r="C177" s="6" t="n">
        <x:v>790</x:v>
      </x:c>
      <x:c r="D177" s="17" t="n">
        <x:f>B177-C177</x:f>
        <x:v>175</x:v>
      </x:c>
      <x:c r="E177" s="52" t="n">
        <x:f>B177+C177</x:f>
        <x:v>1755</x:v>
      </x:c>
      <x:c r="F177" s="53" t="n">
        <x:f>100*B177/C177</x:f>
        <x:v>122.15189873417721</x:v>
      </x:c>
      <x:c r="G177" s="53" t="n">
        <x:f>100*(B177/SUMIFS($B$2:$B$181,$A$2:$A$181,EDATE(A177,-12))-1)</x:f>
        <x:v>-15.720524017467252</x:v>
      </x:c>
      <x:c r="H177" s="53" t="n">
        <x:f>100*(C177/SUMIFS($C$2:$C$181,$A$2:$A$181,EDATE(A177,-12))-1)</x:f>
        <x:v>-15.145005370569276</x:v>
      </x:c>
      <x:c r="I177" s="54" t="n">
        <x:f>100*B177/'Charts'!$AJ$7</x:f>
        <x:v>56.75802846723915</x:v>
      </x:c>
      <x:c r="J177" s="54" t="n">
        <x:f>100*C177/'Charts'!$AK$7</x:f>
        <x:v>47.69619336077039</x:v>
      </x:c>
    </x:row>
    <x:row r="178" ht="23" customHeight="1">
      <x:c r="A178" s="16" t="d">
        <x:v>1938-09-01T00:00:00.000Z</x:v>
      </x:c>
      <x:c r="B178" s="6" t="n">
        <x:v>939</x:v>
      </x:c>
      <x:c r="C178" s="6" t="n">
        <x:v>687</x:v>
      </x:c>
      <x:c r="D178" s="17" t="n">
        <x:f>B178-C178</x:f>
        <x:v>252</x:v>
      </x:c>
      <x:c r="E178" s="52" t="n">
        <x:f>B178+C178</x:f>
        <x:v>1626</x:v>
      </x:c>
      <x:c r="F178" s="53" t="n">
        <x:f>100*B178/C178</x:f>
        <x:v>136.6812227074236</x:v>
      </x:c>
      <x:c r="G178" s="53" t="n">
        <x:f>100*(B178/SUMIFS($B$2:$B$181,$A$2:$A$181,EDATE(A178,-12))-1)</x:f>
        <x:v>-14.636363636363637</x:v>
      </x:c>
      <x:c r="H178" s="53" t="n">
        <x:f>100*(C178/SUMIFS($C$2:$C$181,$A$2:$A$181,EDATE(A178,-12))-1)</x:f>
        <x:v>-21.843003412969285</x:v>
      </x:c>
      <x:c r="I178" s="54" t="n">
        <x:f>100*B178/'Charts'!$AJ$7</x:f>
        <x:v>55.22879661216327</x:v>
      </x:c>
      <x:c r="J178" s="54" t="n">
        <x:f>100*C178/'Charts'!$AK$7</x:f>
        <x:v>41.47757574537881</x:v>
      </x:c>
    </x:row>
    <x:row r="179" ht="23" customHeight="1">
      <x:c r="A179" s="16" t="d">
        <x:v>1938-10-01T00:00:00.000Z</x:v>
      </x:c>
      <x:c r="B179" s="6" t="n">
        <x:v>213</x:v>
      </x:c>
      <x:c r="C179" s="6" t="n">
        <x:v>114</x:v>
      </x:c>
      <x:c r="D179" s="17" t="n">
        <x:f>B179-C179</x:f>
        <x:v>99</x:v>
      </x:c>
      <x:c r="E179" s="52" t="n">
        <x:f>B179+C179</x:f>
        <x:v>327</x:v>
      </x:c>
      <x:c r="F179" s="53" t="n">
        <x:f>100*B179/C179</x:f>
        <x:v>186.8421052631579</x:v>
      </x:c>
      <x:c r="G179" s="53" t="n">
        <x:f>100*(B179/SUMIFS($B$2:$B$181,$A$2:$A$181,EDATE(A179,-12))-1)</x:f>
        <x:v>-81.06666666666666</x:v>
      </x:c>
      <x:c r="H179" s="53" t="n">
        <x:f>100*(C179/SUMIFS($C$2:$C$181,$A$2:$A$181,EDATE(A179,-12))-1)</x:f>
        <x:v>-88.125</x:v>
      </x:c>
      <x:c r="I179" s="54" t="n">
        <x:f>100*B179/'Charts'!$AJ$7</x:f>
        <x:v>12.52793788966004</x:v>
      </x:c>
      <x:c r="J179" s="54" t="n">
        <x:f>100*C179/'Charts'!$AK$7</x:f>
        <x:v>6.882741826744081</x:v>
      </x:c>
    </x:row>
    <x:row r="180" ht="23" customHeight="1">
      <x:c r="A180" s="16" t="d">
        <x:v>1938-11-01T00:00:00.000Z</x:v>
      </x:c>
      <x:c r="B180" s="6" t="n">
        <x:v>656</x:v>
      </x:c>
      <x:c r="C180" s="6" t="n">
        <x:v>516</x:v>
      </x:c>
      <x:c r="D180" s="17" t="n">
        <x:f>B180-C180</x:f>
        <x:v>140</x:v>
      </x:c>
      <x:c r="E180" s="52" t="n">
        <x:f>B180+C180</x:f>
        <x:v>1172</x:v>
      </x:c>
      <x:c r="F180" s="53" t="n">
        <x:f>100*B180/C180</x:f>
        <x:v>127.13178294573643</x:v>
      </x:c>
      <x:c r="G180" s="53" t="n">
        <x:f>100*(B180/SUMIFS($B$2:$B$181,$A$2:$A$181,EDATE(A180,-12))-1)</x:f>
        <x:v>-37.3447946513849</x:v>
      </x:c>
      <x:c r="H180" s="53" t="n">
        <x:f>100*(C180/SUMIFS($C$2:$C$181,$A$2:$A$181,EDATE(A180,-12))-1)</x:f>
        <x:v>-47.61421319796955</x:v>
      </x:c>
      <x:c r="I180" s="54" t="n">
        <x:f>100*B180/'Charts'!$AJ$7</x:f>
        <x:v>38.5836960357605</x:v>
      </x:c>
      <x:c r="J180" s="54" t="n">
        <x:f>100*C180/'Charts'!$AK$7</x:f>
        <x:v>31.153463005262683</x:v>
      </x:c>
    </x:row>
    <x:row r="181" ht="23" customHeight="1">
      <x:c r="A181" s="16" t="d">
        <x:v>1938-12-01T00:00:00.000Z</x:v>
      </x:c>
      <x:c r="B181" s="6" t="n">
        <x:v>851</x:v>
      </x:c>
      <x:c r="C181" s="6" t="n">
        <x:v>871</x:v>
      </x:c>
      <x:c r="D181" s="17" t="n">
        <x:f>B181-C181</x:f>
        <x:v>-20</x:v>
      </x:c>
      <x:c r="E181" s="52" t="n">
        <x:f>B181+C181</x:f>
        <x:v>1722</x:v>
      </x:c>
      <x:c r="F181" s="53" t="n">
        <x:f>100*B181/C181</x:f>
        <x:v>97.70378874856486</x:v>
      </x:c>
      <x:c r="G181" s="53" t="n">
        <x:f>100*(B181/SUMIFS($B$2:$B$181,$A$2:$A$181,EDATE(A181,-12))-1)</x:f>
        <x:v>-29.08333333333334</x:v>
      </x:c>
      <x:c r="H181" s="53" t="n">
        <x:f>100*(C181/SUMIFS($C$2:$C$181,$A$2:$A$181,EDATE(A181,-12))-1)</x:f>
        <x:v>-18.75</x:v>
      </x:c>
      <x:c r="I181" s="54" t="n">
        <x:f>100*B181/'Charts'!$AJ$7</x:f>
        <x:v>50.052934948829545</x:v>
      </x:c>
      <x:c r="J181" s="54" t="n">
        <x:f>100*C181/'Charts'!$AK$7</x:f>
        <x:v>52.58656255345697</x:v>
      </x:c>
    </x:row>
  </x:sheetData>
  <x:conditionalFormatting sqref="D2:D181">
    <x:cfRule type="cellIs" dxfId="4" priority="1" operator="greaterThan">
      <x:formula>0</x:formula>
    </x:cfRule>
    <x:cfRule type="cellIs" dxfId="5" priority="2" operator="lessThan">
      <x:formula>0</x:formula>
    </x:cfRule>
  </x:conditionalFormatting>
  <x:conditionalFormatting sqref="G14:H181">
    <x:cfRule type="cellIs" dxfId="8" priority="3" operator="greaterThan">
      <x:formula>0</x:formula>
    </x:cfRule>
    <x:cfRule type="cellIs" dxfId="9" priority="4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191ae222130478a"/>
  </x:tableParts>
</x:worksheet>
</file>

<file path=xl/worksheets/sheet4.xml><?xml version="1.0" encoding="utf-8"?>
<x:worksheet xmlns:x="http://schemas.openxmlformats.org/spreadsheetml/2006/main">
  <x:sheetPr>
    <x:tabColor rgb="FF23866D"/>
  </x:sheetPr>
  <x:sheetViews>
    <x:sheetView showGridLines="0" workbookViewId="0"/>
  </x:sheetViews>
  <x:sheetFormatPr defaultRowHeight="15"/>
  <x:cols>
    <x:col min="1" max="1" width="2.6700000762939453" hidden="0" customWidth="1"/>
    <x:col min="2" max="2" width="6.440000057220459" hidden="0" customWidth="1"/>
    <x:col min="3" max="3" width="6.440000057220459" hidden="0" customWidth="1"/>
    <x:col min="4" max="4" width="6.440000057220459" hidden="0" customWidth="1"/>
    <x:col min="5" max="5" width="6.440000057220459" hidden="0" customWidth="1"/>
    <x:col min="6" max="6" width="6.440000057220459" hidden="0" customWidth="1"/>
    <x:col min="7" max="7" width="6.440000057220459" hidden="0" customWidth="1"/>
    <x:col min="8" max="8" width="6.440000057220459" hidden="0" customWidth="1"/>
    <x:col min="9" max="9" width="6.440000057220459" hidden="0" customWidth="1"/>
    <x:col min="10" max="10" width="6.440000057220459" hidden="0" customWidth="1"/>
    <x:col min="11" max="11" width="6.440000057220459" hidden="0" customWidth="1"/>
    <x:col min="12" max="12" width="6.440000057220459" hidden="0" customWidth="1"/>
    <x:col min="13" max="13" width="6.440000057220459" hidden="0" customWidth="1"/>
    <x:col min="14" max="14" width="6.440000057220459" hidden="0" customWidth="1"/>
    <x:col min="15" max="15" width="6.440000057220459" hidden="0" customWidth="1"/>
    <x:col min="16" max="16" width="6.440000057220459" hidden="0" customWidth="1"/>
    <x:col min="17" max="17" width="6.440000057220459" hidden="0" customWidth="1"/>
    <x:col min="18" max="18" width="6.440000057220459" hidden="0" customWidth="1"/>
    <x:col min="19" max="19" width="6.440000057220459" hidden="0" customWidth="1"/>
    <x:col min="20" max="20" width="6.440000057220459" hidden="0" customWidth="1"/>
    <x:col min="21" max="21" width="6.440000057220459" hidden="0" customWidth="1"/>
    <x:col min="22" max="22" width="6.440000057220459" hidden="0" customWidth="1"/>
    <x:col min="23" max="23" width="6.440000057220459" hidden="0" customWidth="1"/>
    <x:col min="27" max="27" width="27.780000686645508" hidden="0" customWidth="1"/>
    <x:col min="28" max="28" width="16.110000610351562" hidden="0" customWidth="1"/>
    <x:col min="29" max="29" width="16.110000610351562" hidden="0" customWidth="1"/>
    <x:col min="30" max="30" width="16.110000610351562" hidden="0" customWidth="1"/>
    <x:col min="31" max="31" width="16.110000610351562" hidden="0" customWidth="1"/>
    <x:col min="32" max="32" width="16.110000610351562" hidden="0" customWidth="1"/>
    <x:col min="35" max="35" width="27.780000686645508" hidden="0" customWidth="1"/>
    <x:col min="36" max="36" width="16.110000610351562" hidden="0" customWidth="1"/>
    <x:col min="37" max="37" width="16.110000610351562" hidden="0" customWidth="1"/>
    <x:col min="24" max="24" width="6.440000057220459" hidden="0" customWidth="1"/>
    <x:col min="25" max="25" width="6.440000057220459" hidden="0" customWidth="1"/>
    <x:col min="26" max="26" width="2.6700000762939453" hidden="0" customWidth="1"/>
  </x:cols>
  <x:sheetData>
    <x:row r="1" ht="16.5" customHeight="1">
      <x:c r="A1" s="22"/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AA1" s="36"/>
      <x:c r="AB1" s="36"/>
      <x:c r="AC1" s="36"/>
      <x:c r="AD1" s="36"/>
      <x:c r="AE1" s="36"/>
      <x:c r="AF1" s="36"/>
      <x:c r="AI1" s="36"/>
      <x:c r="AJ1" s="36"/>
      <x:c r="AK1" s="36"/>
    </x:row>
    <x:row r="2" ht="16.5" customHeight="1">
      <x:c r="A2" s="22"/>
      <x:c r="B2" s="23" t="str">
        <x:v>Czechoslovak foreign trade</x:v>
      </x:c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AA2" s="37" t="str">
        <x:v>Chart source tables</x:v>
      </x:c>
      <x:c r="AB2" s="36"/>
      <x:c r="AC2" s="36"/>
      <x:c r="AD2" s="36"/>
      <x:c r="AE2" s="36"/>
      <x:c r="AF2" s="36"/>
      <x:c r="AI2" s="37" t="str">
        <x:v>Index bases</x:v>
      </x:c>
      <x:c r="AJ2" s="36"/>
      <x:c r="AK2" s="36"/>
    </x:row>
    <x:row r="3" ht="16.5" customHeight="1">
      <x:c r="A3" s="22"/>
      <x:c r="B3" s="24" t="str">
        <x:v>Current Kč. Trade balance = exports − imports.</x:v>
      </x:c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  <x:c r="U3" s="22"/>
      <x:c r="V3" s="22"/>
      <x:c r="W3" s="22"/>
      <x:c r="AA3" s="38" t="str">
        <x:v>Nominal values, million Kč</x:v>
      </x:c>
      <x:c r="AB3" s="36"/>
      <x:c r="AC3" s="36"/>
      <x:c r="AD3" s="36"/>
      <x:c r="AE3" s="36"/>
      <x:c r="AF3" s="36"/>
      <x:c r="AI3" s="38" t="str">
        <x:v>Nominal values, million Kč</x:v>
      </x:c>
      <x:c r="AJ3" s="36"/>
      <x:c r="AK3" s="36"/>
    </x:row>
    <x:row r="4" ht="16.5" customHeight="1">
      <x:c r="A4" s="22"/>
      <x:c r="B4" s="25"/>
      <x:c r="C4" s="25"/>
      <x:c r="D4" s="25"/>
      <x:c r="E4" s="25"/>
      <x:c r="F4" s="25"/>
      <x:c r="G4" s="25"/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2"/>
      <x:c r="AA4" s="36" t="str">
        <x:v>Annual totals</x:v>
      </x:c>
      <x:c r="AB4" s="36"/>
      <x:c r="AC4" s="36"/>
      <x:c r="AD4" s="36"/>
      <x:c r="AE4" s="36"/>
      <x:c r="AF4" s="36"/>
      <x:c r="AI4" s="36"/>
      <x:c r="AJ4" s="36"/>
      <x:c r="AK4" s="36"/>
    </x:row>
    <x:row r="5" ht="16.5" customHeight="1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AA5" s="42" t="str">
        <x:v>Year</x:v>
      </x:c>
      <x:c r="AB5" s="42" t="str">
        <x:v>Exports</x:v>
      </x:c>
      <x:c r="AC5" s="42" t="str">
        <x:v>Imports</x:v>
      </x:c>
      <x:c r="AD5" s="42" t="str">
        <x:v>Trade balance</x:v>
      </x:c>
      <x:c r="AE5" s="42" t="str">
        <x:v>Surplus</x:v>
      </x:c>
      <x:c r="AF5" s="42" t="str">
        <x:v>Deficit</x:v>
      </x:c>
      <x:c r="AI5" s="67" t="str">
        <x:v>Reference period</x:v>
      </x:c>
      <x:c r="AJ5" s="67" t="str">
        <x:v>Exports</x:v>
      </x:c>
      <x:c r="AK5" s="67" t="str">
        <x:v>Imports</x:v>
      </x:c>
    </x:row>
    <x:row r="6" ht="16.5" customHeight="1">
      <x:c r="A6" s="22"/>
      <x:c r="B6" s="22"/>
      <x:c r="C6" s="22"/>
      <x:c r="D6" s="22"/>
      <x:c r="E6" s="22"/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AA6" s="46" t="str">
        <x:f>'Annual totals'!A2&amp;""</x:f>
        <x:v>1920</x:v>
      </x:c>
      <x:c r="AB6" s="44" t="n">
        <x:f>'Annual totals'!B2</x:f>
        <x:v>28514.619</x:v>
      </x:c>
      <x:c r="AC6" s="44" t="n">
        <x:f>'Annual totals'!C2</x:f>
        <x:v>23912.315</x:v>
      </x:c>
      <x:c r="AD6" s="44" t="n">
        <x:f>'Annual totals'!D2</x:f>
        <x:v>4602.304</x:v>
      </x:c>
      <x:c r="AE6" s="44" t="n">
        <x:f>MAX(AD6,0)</x:f>
        <x:v>4602.304</x:v>
      </x:c>
      <x:c r="AF6" s="44" t="n">
        <x:f>MIN(AD6,0)</x:f>
        <x:v>0</x:v>
      </x:c>
      <x:c r="AI6" s="36" t="str">
        <x:v>Annual value, 1929</x:v>
      </x:c>
      <x:c r="AJ6" s="47" t="n">
        <x:f>SUMIFS('Annual totals'!$B$2:$B$20,'Annual totals'!$A$2:$A$20,1929)</x:f>
        <x:v>20498.869</x:v>
      </x:c>
      <x:c r="AK6" s="47" t="n">
        <x:f>SUMIFS('Annual totals'!$C$2:$C$20,'Annual totals'!$A$2:$A$20,1929)</x:f>
        <x:v>19957.858</x:v>
      </x:c>
    </x:row>
    <x:row r="7" ht="16.5" customHeight="1">
      <x:c r="A7" s="22"/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AA7" s="46" t="str">
        <x:f>'Annual totals'!A3&amp;""</x:f>
        <x:v>1921</x:v>
      </x:c>
      <x:c r="AB7" s="44" t="n">
        <x:f>'Annual totals'!B3</x:f>
        <x:v>29457.998</x:v>
      </x:c>
      <x:c r="AC7" s="44" t="n">
        <x:f>'Annual totals'!C3</x:f>
        <x:v>23685.366</x:v>
      </x:c>
      <x:c r="AD7" s="44" t="n">
        <x:f>'Annual totals'!D3</x:f>
        <x:v>5772.631999999998</x:v>
      </x:c>
      <x:c r="AE7" s="44" t="n">
        <x:f>MAX(AD7,0)</x:f>
        <x:v>5772.631999999998</x:v>
      </x:c>
      <x:c r="AF7" s="44" t="n">
        <x:f>MIN(AD7,0)</x:f>
        <x:v>0</x:v>
      </x:c>
      <x:c r="AI7" s="36" t="str">
        <x:v>Monthly mean, 1929</x:v>
      </x:c>
      <x:c r="AJ7" s="47" t="n">
        <x:f>AVERAGEIFS('Monthly totals'!$B$2:$B$181,'Monthly totals'!$A$2:$A$181,"&gt;="&amp;DATE(1929,1,1),'Monthly totals'!$A$2:$A$181,"&lt;"&amp;DATE(1930,1,1))</x:f>
        <x:v>1700.2</x:v>
      </x:c>
      <x:c r="AK7" s="47" t="n">
        <x:f>AVERAGEIFS('Monthly totals'!$C$2:$C$181,'Monthly totals'!$A$2:$A$181,"&gt;="&amp;DATE(1929,1,1),'Monthly totals'!$A$2:$A$181,"&lt;"&amp;DATE(1930,1,1))</x:f>
        <x:v>1656.3166666666666</x:v>
      </x:c>
    </x:row>
    <x:row r="8" ht="16.5" customHeight="1">
      <x:c r="A8" s="22"/>
      <x:c r="B8" s="22"/>
      <x:c r="C8" s="22"/>
      <x:c r="D8" s="22"/>
      <x:c r="E8" s="22"/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AA8" s="46" t="str">
        <x:f>'Annual totals'!A4&amp;""</x:f>
        <x:v>1922</x:v>
      </x:c>
      <x:c r="AB8" s="44" t="n">
        <x:f>'Annual totals'!B4</x:f>
        <x:v>19632.869</x:v>
      </x:c>
      <x:c r="AC8" s="44" t="n">
        <x:f>'Annual totals'!C4</x:f>
        <x:v>13477.619</x:v>
      </x:c>
      <x:c r="AD8" s="44" t="n">
        <x:f>'Annual totals'!D4</x:f>
        <x:v>6155.249999999998</x:v>
      </x:c>
      <x:c r="AE8" s="44" t="n">
        <x:f>MAX(AD8,0)</x:f>
        <x:v>6155.249999999998</x:v>
      </x:c>
      <x:c r="AF8" s="44" t="n">
        <x:f>MIN(AD8,0)</x:f>
        <x:v>0</x:v>
      </x:c>
      <x:c r="AI8" s="36"/>
      <x:c r="AJ8" s="36"/>
      <x:c r="AK8" s="36"/>
    </x:row>
    <x:row r="9" ht="16.5" customHeight="1">
      <x:c r="A9" s="22"/>
      <x:c r="B9" s="22"/>
      <x:c r="C9" s="22"/>
      <x:c r="D9" s="22"/>
      <x:c r="E9" s="22"/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AA9" s="46" t="str">
        <x:f>'Annual totals'!A5&amp;""</x:f>
        <x:v>1923</x:v>
      </x:c>
      <x:c r="AB9" s="44" t="n">
        <x:f>'Annual totals'!B5</x:f>
        <x:v>13903.332</x:v>
      </x:c>
      <x:c r="AC9" s="44" t="n">
        <x:f>'Annual totals'!C5</x:f>
        <x:v>10820.892</x:v>
      </x:c>
      <x:c r="AD9" s="44" t="n">
        <x:f>'Annual totals'!D5</x:f>
        <x:v>3082.4400000000005</x:v>
      </x:c>
      <x:c r="AE9" s="44" t="n">
        <x:f>MAX(AD9,0)</x:f>
        <x:v>3082.4400000000005</x:v>
      </x:c>
      <x:c r="AF9" s="44" t="n">
        <x:f>MIN(AD9,0)</x:f>
        <x:v>0</x:v>
      </x:c>
      <x:c r="AI9" s="36"/>
      <x:c r="AJ9" s="36"/>
      <x:c r="AK9" s="36"/>
    </x:row>
    <x:row r="10" ht="16.5" customHeight="1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AA10" s="46" t="str">
        <x:f>'Annual totals'!A6&amp;""</x:f>
        <x:v>1924</x:v>
      </x:c>
      <x:c r="AB10" s="44" t="n">
        <x:f>'Annual totals'!B6</x:f>
        <x:v>17035.375</x:v>
      </x:c>
      <x:c r="AC10" s="44" t="n">
        <x:f>'Annual totals'!C6</x:f>
        <x:v>15854.703</x:v>
      </x:c>
      <x:c r="AD10" s="44" t="n">
        <x:f>'Annual totals'!D6</x:f>
        <x:v>1180.6720000000005</x:v>
      </x:c>
      <x:c r="AE10" s="44" t="n">
        <x:f>MAX(AD10,0)</x:f>
        <x:v>1180.6720000000005</x:v>
      </x:c>
      <x:c r="AF10" s="44" t="n">
        <x:f>MIN(AD10,0)</x:f>
        <x:v>0</x:v>
      </x:c>
      <x:c r="AI10" s="36"/>
      <x:c r="AJ10" s="36"/>
      <x:c r="AK10" s="36"/>
    </x:row>
    <x:row r="11" ht="16.5" customHeight="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AA11" s="46" t="str">
        <x:f>'Annual totals'!A7&amp;""</x:f>
        <x:v>1925</x:v>
      </x:c>
      <x:c r="AB11" s="44" t="n">
        <x:f>'Annual totals'!B7</x:f>
        <x:v>18821.118</x:v>
      </x:c>
      <x:c r="AC11" s="44" t="n">
        <x:f>'Annual totals'!C7</x:f>
        <x:v>17618.111</x:v>
      </x:c>
      <x:c r="AD11" s="44" t="n">
        <x:f>'Annual totals'!D7</x:f>
        <x:v>1203.0069999999978</x:v>
      </x:c>
      <x:c r="AE11" s="44" t="n">
        <x:f>MAX(AD11,0)</x:f>
        <x:v>1203.0069999999978</x:v>
      </x:c>
      <x:c r="AF11" s="44" t="n">
        <x:f>MIN(AD11,0)</x:f>
        <x:v>0</x:v>
      </x:c>
      <x:c r="AI11" s="36"/>
      <x:c r="AJ11" s="36"/>
      <x:c r="AK11" s="36"/>
    </x:row>
    <x:row r="12" ht="16.5" customHeight="1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AA12" s="46" t="str">
        <x:f>'Annual totals'!A8&amp;""</x:f>
        <x:v>1926</x:v>
      </x:c>
      <x:c r="AB12" s="44" t="n">
        <x:f>'Annual totals'!B8</x:f>
        <x:v>17856.559</x:v>
      </x:c>
      <x:c r="AC12" s="44" t="n">
        <x:f>'Annual totals'!C8</x:f>
        <x:v>15276.671</x:v>
      </x:c>
      <x:c r="AD12" s="44" t="n">
        <x:f>'Annual totals'!D8</x:f>
        <x:v>2579.888000000001</x:v>
      </x:c>
      <x:c r="AE12" s="44" t="n">
        <x:f>MAX(AD12,0)</x:f>
        <x:v>2579.888000000001</x:v>
      </x:c>
      <x:c r="AF12" s="44" t="n">
        <x:f>MIN(AD12,0)</x:f>
        <x:v>0</x:v>
      </x:c>
      <x:c r="AI12" s="67" t="str">
        <x:v>Year</x:v>
      </x:c>
      <x:c r="AJ12" s="67" t="str">
        <x:v>Exports</x:v>
      </x:c>
      <x:c r="AK12" s="67" t="str">
        <x:v>Imports</x:v>
      </x:c>
    </x:row>
    <x:row r="13" ht="16.5" customHeight="1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  <x:c r="T13" s="22"/>
      <x:c r="U13" s="22"/>
      <x:c r="V13" s="22"/>
      <x:c r="W13" s="22"/>
      <x:c r="AA13" s="46" t="str">
        <x:f>'Annual totals'!A9&amp;""</x:f>
        <x:v>1927</x:v>
      </x:c>
      <x:c r="AB13" s="44" t="n">
        <x:f>'Annual totals'!B9</x:f>
        <x:v>20135.438</x:v>
      </x:c>
      <x:c r="AC13" s="44" t="n">
        <x:f>'Annual totals'!C9</x:f>
        <x:v>17961.632</x:v>
      </x:c>
      <x:c r="AD13" s="44" t="n">
        <x:f>'Annual totals'!D9</x:f>
        <x:v>2173.805999999997</x:v>
      </x:c>
      <x:c r="AE13" s="44" t="n">
        <x:f>MAX(AD13,0)</x:f>
        <x:v>2173.805999999997</x:v>
      </x:c>
      <x:c r="AF13" s="44" t="n">
        <x:f>MIN(AD13,0)</x:f>
        <x:v>0</x:v>
      </x:c>
      <x:c r="AI13" s="36" t="str">
        <x:f>AA6</x:f>
        <x:v>1920</x:v>
      </x:c>
      <x:c r="AJ13" s="68" t="n">
        <x:f>'Annual totals'!I2</x:f>
        <x:v>139.1033768741095</x:v>
      </x:c>
      <x:c r="AK13" s="68" t="n">
        <x:f>'Annual totals'!J2</x:f>
        <x:v>119.81403515347188</x:v>
      </x:c>
    </x:row>
    <x:row r="14" ht="16.5" customHeight="1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  <x:c r="T14" s="22"/>
      <x:c r="U14" s="22"/>
      <x:c r="V14" s="22"/>
      <x:c r="W14" s="22"/>
      <x:c r="AA14" s="46" t="str">
        <x:f>'Annual totals'!A10&amp;""</x:f>
        <x:v>1928</x:v>
      </x:c>
      <x:c r="AB14" s="44" t="n">
        <x:f>'Annual totals'!B10</x:f>
        <x:v>21224.211</x:v>
      </x:c>
      <x:c r="AC14" s="44" t="n">
        <x:f>'Annual totals'!C10</x:f>
        <x:v>19207.903</x:v>
      </x:c>
      <x:c r="AD14" s="44" t="n">
        <x:f>'Annual totals'!D10</x:f>
        <x:v>2016.308000000001</x:v>
      </x:c>
      <x:c r="AE14" s="44" t="n">
        <x:f>MAX(AD14,0)</x:f>
        <x:v>2016.308000000001</x:v>
      </x:c>
      <x:c r="AF14" s="44" t="n">
        <x:f>MIN(AD14,0)</x:f>
        <x:v>0</x:v>
      </x:c>
      <x:c r="AI14" s="36" t="str">
        <x:f>AA7</x:f>
        <x:v>1921</x:v>
      </x:c>
      <x:c r="AJ14" s="68" t="n">
        <x:f>'Annual totals'!I3</x:f>
        <x:v>143.70547955596965</x:v>
      </x:c>
      <x:c r="AK14" s="68" t="n">
        <x:f>'Annual totals'!J3</x:f>
        <x:v>118.6768940835234</x:v>
      </x:c>
    </x:row>
    <x:row r="15" ht="16.5" customHeight="1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2"/>
      <x:c r="T15" s="22"/>
      <x:c r="U15" s="22"/>
      <x:c r="V15" s="22"/>
      <x:c r="W15" s="22"/>
      <x:c r="AA15" s="46" t="str">
        <x:f>'Annual totals'!A11&amp;""</x:f>
        <x:v>1929</x:v>
      </x:c>
      <x:c r="AB15" s="44" t="n">
        <x:f>'Annual totals'!B11</x:f>
        <x:v>20498.869</x:v>
      </x:c>
      <x:c r="AC15" s="44" t="n">
        <x:f>'Annual totals'!C11</x:f>
        <x:v>19957.858</x:v>
      </x:c>
      <x:c r="AD15" s="44" t="n">
        <x:f>'Annual totals'!D11</x:f>
        <x:v>541.0109999999986</x:v>
      </x:c>
      <x:c r="AE15" s="44" t="n">
        <x:f>MAX(AD15,0)</x:f>
        <x:v>541.0109999999986</x:v>
      </x:c>
      <x:c r="AF15" s="44" t="n">
        <x:f>MIN(AD15,0)</x:f>
        <x:v>0</x:v>
      </x:c>
      <x:c r="AI15" s="36" t="str">
        <x:f>AA8</x:f>
        <x:v>1922</x:v>
      </x:c>
      <x:c r="AJ15" s="68" t="n">
        <x:f>'Annual totals'!I4</x:f>
        <x:v>95.77537668053785</x:v>
      </x:c>
      <x:c r="AK15" s="68" t="n">
        <x:f>'Annual totals'!J4</x:f>
        <x:v>67.53038828114721</x:v>
      </x:c>
    </x:row>
    <x:row r="16" ht="16.5" customHeight="1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22"/>
      <x:c r="S16" s="22"/>
      <x:c r="T16" s="22"/>
      <x:c r="U16" s="22"/>
      <x:c r="V16" s="22"/>
      <x:c r="W16" s="22"/>
      <x:c r="AA16" s="46" t="str">
        <x:f>'Annual totals'!A12&amp;""</x:f>
        <x:v>1930</x:v>
      </x:c>
      <x:c r="AB16" s="44" t="n">
        <x:f>'Annual totals'!B12</x:f>
        <x:v>17473.732</x:v>
      </x:c>
      <x:c r="AC16" s="44" t="n">
        <x:f>'Annual totals'!C12</x:f>
        <x:v>15714.503</x:v>
      </x:c>
      <x:c r="AD16" s="44" t="n">
        <x:f>'Annual totals'!D12</x:f>
        <x:v>1759.2289999999994</x:v>
      </x:c>
      <x:c r="AE16" s="44" t="n">
        <x:f>MAX(AD16,0)</x:f>
        <x:v>1759.2289999999994</x:v>
      </x:c>
      <x:c r="AF16" s="44" t="n">
        <x:f>MIN(AD16,0)</x:f>
        <x:v>0</x:v>
      </x:c>
      <x:c r="AI16" s="36" t="str">
        <x:f>AA9</x:f>
        <x:v>1923</x:v>
      </x:c>
      <x:c r="AJ16" s="68" t="n">
        <x:f>'Annual totals'!I5</x:f>
        <x:v>67.8248736552246</x:v>
      </x:c>
      <x:c r="AK16" s="68" t="n">
        <x:f>'Annual totals'!J5</x:f>
        <x:v>54.21870423168659</x:v>
      </x:c>
    </x:row>
    <x:row r="17" ht="16.5" customHeight="1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2"/>
      <x:c r="Q17" s="22"/>
      <x:c r="R17" s="22"/>
      <x:c r="S17" s="22"/>
      <x:c r="T17" s="22"/>
      <x:c r="U17" s="22"/>
      <x:c r="V17" s="22"/>
      <x:c r="W17" s="22"/>
      <x:c r="AA17" s="46" t="str">
        <x:f>'Annual totals'!A13&amp;""</x:f>
        <x:v>1931</x:v>
      </x:c>
      <x:c r="AB17" s="44" t="n">
        <x:f>'Annual totals'!B13</x:f>
        <x:v>13149.393</x:v>
      </x:c>
      <x:c r="AC17" s="44" t="n">
        <x:f>'Annual totals'!C13</x:f>
        <x:v>11800.535</x:v>
      </x:c>
      <x:c r="AD17" s="44" t="n">
        <x:f>'Annual totals'!D13</x:f>
        <x:v>1348.8580000000002</x:v>
      </x:c>
      <x:c r="AE17" s="44" t="n">
        <x:f>MAX(AD17,0)</x:f>
        <x:v>1348.8580000000002</x:v>
      </x:c>
      <x:c r="AF17" s="44" t="n">
        <x:f>MIN(AD17,0)</x:f>
        <x:v>0</x:v>
      </x:c>
      <x:c r="AI17" s="36" t="str">
        <x:f>AA10</x:f>
        <x:v>1924</x:v>
      </x:c>
      <x:c r="AJ17" s="68" t="n">
        <x:f>'Annual totals'!I6</x:f>
        <x:v>83.10397515101931</x:v>
      </x:c>
      <x:c r="AK17" s="68" t="n">
        <x:f>'Annual totals'!J6</x:f>
        <x:v>79.44090493077965</x:v>
      </x:c>
    </x:row>
    <x:row r="18" ht="16.5" customHeight="1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  <x:c r="Q18" s="22"/>
      <x:c r="R18" s="22"/>
      <x:c r="S18" s="22"/>
      <x:c r="T18" s="22"/>
      <x:c r="U18" s="22"/>
      <x:c r="V18" s="22"/>
      <x:c r="W18" s="22"/>
      <x:c r="AA18" s="46" t="str">
        <x:f>'Annual totals'!A14&amp;""</x:f>
        <x:v>1932</x:v>
      </x:c>
      <x:c r="AB18" s="44" t="n">
        <x:f>'Annual totals'!B14</x:f>
        <x:v>7391.89</x:v>
      </x:c>
      <x:c r="AC18" s="44" t="n">
        <x:f>'Annual totals'!C14</x:f>
        <x:v>8157.914</x:v>
      </x:c>
      <x:c r="AD18" s="44" t="n">
        <x:f>'Annual totals'!D14</x:f>
        <x:v>-766.0239999999994</x:v>
      </x:c>
      <x:c r="AE18" s="44" t="n">
        <x:f>MAX(AD18,0)</x:f>
        <x:v>0</x:v>
      </x:c>
      <x:c r="AF18" s="44" t="n">
        <x:f>MIN(AD18,0)</x:f>
        <x:v>-766.0239999999994</x:v>
      </x:c>
      <x:c r="AI18" s="36" t="str">
        <x:f>AA11</x:f>
        <x:v>1925</x:v>
      </x:c>
      <x:c r="AJ18" s="68" t="n">
        <x:f>'Annual totals'!I7</x:f>
        <x:v>91.81539722996425</x:v>
      </x:c>
      <x:c r="AK18" s="68" t="n">
        <x:f>'Annual totals'!J7</x:f>
        <x:v>88.27656254493844</x:v>
      </x:c>
    </x:row>
    <x:row r="19" ht="16.5" customHeight="1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  <x:c r="P19" s="22"/>
      <x:c r="Q19" s="22"/>
      <x:c r="R19" s="22"/>
      <x:c r="S19" s="22"/>
      <x:c r="T19" s="22"/>
      <x:c r="U19" s="22"/>
      <x:c r="V19" s="22"/>
      <x:c r="W19" s="22"/>
      <x:c r="AA19" s="46" t="str">
        <x:f>'Annual totals'!A15&amp;""</x:f>
        <x:v>1933</x:v>
      </x:c>
      <x:c r="AB19" s="44" t="n">
        <x:f>'Annual totals'!B15</x:f>
        <x:v>5923.023</x:v>
      </x:c>
      <x:c r="AC19" s="44" t="n">
        <x:f>'Annual totals'!C15</x:f>
        <x:v>6125.196</x:v>
      </x:c>
      <x:c r="AD19" s="44" t="n">
        <x:f>'Annual totals'!D15</x:f>
        <x:v>-202.17299999999977</x:v>
      </x:c>
      <x:c r="AE19" s="44" t="n">
        <x:f>MAX(AD19,0)</x:f>
        <x:v>0</x:v>
      </x:c>
      <x:c r="AF19" s="44" t="n">
        <x:f>MIN(AD19,0)</x:f>
        <x:v>-202.17299999999977</x:v>
      </x:c>
      <x:c r="AI19" s="36" t="str">
        <x:f>AA12</x:f>
        <x:v>1926</x:v>
      </x:c>
      <x:c r="AJ19" s="68" t="n">
        <x:f>'Annual totals'!I8</x:f>
        <x:v>87.10997177454036</x:v>
      </x:c>
      <x:c r="AK19" s="68" t="n">
        <x:f>'Annual totals'!J8</x:f>
        <x:v>76.54464221561253</x:v>
      </x:c>
    </x:row>
    <x:row r="20" ht="16.5" customHeight="1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  <x:c r="O20" s="22"/>
      <x:c r="P20" s="22"/>
      <x:c r="Q20" s="22"/>
      <x:c r="R20" s="22"/>
      <x:c r="S20" s="22"/>
      <x:c r="T20" s="22"/>
      <x:c r="U20" s="22"/>
      <x:c r="V20" s="22"/>
      <x:c r="W20" s="22"/>
      <x:c r="AA20" s="46" t="str">
        <x:f>'Annual totals'!A16&amp;""</x:f>
        <x:v>1934</x:v>
      </x:c>
      <x:c r="AB20" s="44" t="n">
        <x:f>'Annual totals'!B16</x:f>
        <x:v>7287.549</x:v>
      </x:c>
      <x:c r="AC20" s="44" t="n">
        <x:f>'Annual totals'!C16</x:f>
        <x:v>6391.566</x:v>
      </x:c>
      <x:c r="AD20" s="44" t="n">
        <x:f>'Annual totals'!D16</x:f>
        <x:v>895.9830000000002</x:v>
      </x:c>
      <x:c r="AE20" s="44" t="n">
        <x:f>MAX(AD20,0)</x:f>
        <x:v>895.9830000000002</x:v>
      </x:c>
      <x:c r="AF20" s="44" t="n">
        <x:f>MIN(AD20,0)</x:f>
        <x:v>0</x:v>
      </x:c>
      <x:c r="AI20" s="36" t="str">
        <x:f>AA13</x:f>
        <x:v>1927</x:v>
      </x:c>
      <x:c r="AJ20" s="68" t="n">
        <x:f>'Annual totals'!I9</x:f>
        <x:v>98.22706803970502</x:v>
      </x:c>
      <x:c r="AK20" s="68" t="n">
        <x:f>'Annual totals'!J9</x:f>
        <x:v>89.99779435248011</x:v>
      </x:c>
    </x:row>
    <x:row r="21" ht="16.5" customHeight="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  <x:c r="M21" s="22"/>
      <x:c r="N21" s="22"/>
      <x:c r="O21" s="22"/>
      <x:c r="P21" s="22"/>
      <x:c r="Q21" s="22"/>
      <x:c r="R21" s="22"/>
      <x:c r="S21" s="22"/>
      <x:c r="T21" s="22"/>
      <x:c r="U21" s="22"/>
      <x:c r="V21" s="22"/>
      <x:c r="W21" s="22"/>
      <x:c r="AA21" s="46" t="str">
        <x:f>'Annual totals'!A17&amp;""</x:f>
        <x:v>1935</x:v>
      </x:c>
      <x:c r="AB21" s="44" t="n">
        <x:f>'Annual totals'!B17</x:f>
        <x:v>7946.649</x:v>
      </x:c>
      <x:c r="AC21" s="44" t="n">
        <x:f>'Annual totals'!C17</x:f>
        <x:v>6743.174</x:v>
      </x:c>
      <x:c r="AD21" s="44" t="n">
        <x:f>'Annual totals'!D17</x:f>
        <x:v>1203.4750000000004</x:v>
      </x:c>
      <x:c r="AE21" s="44" t="n">
        <x:f>MAX(AD21,0)</x:f>
        <x:v>1203.4750000000004</x:v>
      </x:c>
      <x:c r="AF21" s="44" t="n">
        <x:f>MIN(AD21,0)</x:f>
        <x:v>0</x:v>
      </x:c>
      <x:c r="AI21" s="36" t="str">
        <x:f>AA14</x:f>
        <x:v>1928</x:v>
      </x:c>
      <x:c r="AJ21" s="68" t="n">
        <x:f>'Annual totals'!I10</x:f>
        <x:v>103.53844887735026</x:v>
      </x:c>
      <x:c r="AK21" s="68" t="n">
        <x:f>'Annual totals'!J10</x:f>
        <x:v>96.24230716542826</x:v>
      </x:c>
    </x:row>
    <x:row r="22" ht="16.5" customHeight="1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  <x:c r="L22" s="22"/>
      <x:c r="M22" s="22"/>
      <x:c r="N22" s="22"/>
      <x:c r="O22" s="22"/>
      <x:c r="P22" s="22"/>
      <x:c r="Q22" s="22"/>
      <x:c r="R22" s="22"/>
      <x:c r="S22" s="22"/>
      <x:c r="T22" s="22"/>
      <x:c r="U22" s="22"/>
      <x:c r="V22" s="22"/>
      <x:c r="W22" s="22"/>
      <x:c r="AA22" s="46" t="str">
        <x:f>'Annual totals'!A18&amp;""</x:f>
        <x:v>1936</x:v>
      </x:c>
      <x:c r="AB22" s="44" t="n">
        <x:f>'Annual totals'!B18</x:f>
        <x:v>8036.368</x:v>
      </x:c>
      <x:c r="AC22" s="44" t="n">
        <x:f>'Annual totals'!C18</x:f>
        <x:v>7915.215</x:v>
      </x:c>
      <x:c r="AD22" s="44" t="n">
        <x:f>'Annual totals'!D18</x:f>
        <x:v>121.15300000000025</x:v>
      </x:c>
      <x:c r="AE22" s="44" t="n">
        <x:f>MAX(AD22,0)</x:f>
        <x:v>121.15300000000025</x:v>
      </x:c>
      <x:c r="AF22" s="44" t="n">
        <x:f>MIN(AD22,0)</x:f>
        <x:v>0</x:v>
      </x:c>
      <x:c r="AI22" s="36" t="str">
        <x:f>AA15</x:f>
        <x:v>1929</x:v>
      </x:c>
      <x:c r="AJ22" s="68" t="n">
        <x:f>'Annual totals'!I11</x:f>
        <x:v>100</x:v>
      </x:c>
      <x:c r="AK22" s="68" t="n">
        <x:f>'Annual totals'!J11</x:f>
        <x:v>100</x:v>
      </x:c>
    </x:row>
    <x:row r="23" ht="16.5" customHeight="1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22"/>
      <x:c r="S23" s="22"/>
      <x:c r="T23" s="22"/>
      <x:c r="U23" s="22"/>
      <x:c r="V23" s="22"/>
      <x:c r="W23" s="22"/>
      <x:c r="AA23" s="46" t="str">
        <x:f>'Annual totals'!A19&amp;""</x:f>
        <x:v>1937</x:v>
      </x:c>
      <x:c r="AB23" s="44" t="n">
        <x:f>'Annual totals'!B19</x:f>
        <x:v>11982.668</x:v>
      </x:c>
      <x:c r="AC23" s="44" t="n">
        <x:f>'Annual totals'!C19</x:f>
        <x:v>10981.526</x:v>
      </x:c>
      <x:c r="AD23" s="44" t="n">
        <x:f>'Annual totals'!D19</x:f>
        <x:v>1001.1419999999998</x:v>
      </x:c>
      <x:c r="AE23" s="44" t="n">
        <x:f>MAX(AD23,0)</x:f>
        <x:v>1001.1419999999998</x:v>
      </x:c>
      <x:c r="AF23" s="44" t="n">
        <x:f>MIN(AD23,0)</x:f>
        <x:v>0</x:v>
      </x:c>
      <x:c r="AI23" s="36" t="str">
        <x:f>AA16</x:f>
        <x:v>1930</x:v>
      </x:c>
      <x:c r="AJ23" s="68" t="n">
        <x:f>'Annual totals'!I12</x:f>
        <x:v>85.24241995985243</x:v>
      </x:c>
      <x:c r="AK23" s="68" t="n">
        <x:f>'Annual totals'!J12</x:f>
        <x:v>78.73842473475861</x:v>
      </x:c>
    </x:row>
    <x:row r="24" ht="16.5" customHeight="1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  <x:c r="S24" s="22"/>
      <x:c r="T24" s="22"/>
      <x:c r="U24" s="22"/>
      <x:c r="V24" s="22"/>
      <x:c r="W24" s="22"/>
      <x:c r="AA24" s="46" t="str">
        <x:f>'Annual totals'!A20&amp;""</x:f>
        <x:v>1938</x:v>
      </x:c>
      <x:c r="AB24" s="44" t="n">
        <x:f>'Annual totals'!B20</x:f>
        <x:v>10234.514</x:v>
      </x:c>
      <x:c r="AC24" s="44" t="n">
        <x:f>'Annual totals'!C20</x:f>
        <x:v>8390.351</x:v>
      </x:c>
      <x:c r="AD24" s="44" t="n">
        <x:f>'Annual totals'!D20</x:f>
        <x:v>1844.1629999999986</x:v>
      </x:c>
      <x:c r="AE24" s="44" t="n">
        <x:f>MAX(AD24,0)</x:f>
        <x:v>1844.1629999999986</x:v>
      </x:c>
      <x:c r="AF24" s="44" t="n">
        <x:f>MIN(AD24,0)</x:f>
        <x:v>0</x:v>
      </x:c>
      <x:c r="AI24" s="36" t="str">
        <x:f>AA17</x:f>
        <x:v>1931</x:v>
      </x:c>
      <x:c r="AJ24" s="68" t="n">
        <x:f>'Annual totals'!I13</x:f>
        <x:v>64.14691952029159</x:v>
      </x:c>
      <x:c r="AK24" s="68" t="n">
        <x:f>'Annual totals'!J13</x:f>
        <x:v>59.127262053873714</x:v>
      </x:c>
    </x:row>
    <x:row r="25" ht="16.5" customHeight="1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  <x:c r="S25" s="22"/>
      <x:c r="T25" s="22"/>
      <x:c r="U25" s="22"/>
      <x:c r="V25" s="22"/>
      <x:c r="W25" s="22"/>
      <x:c r="AA25" s="36"/>
      <x:c r="AB25" s="36"/>
      <x:c r="AC25" s="36"/>
      <x:c r="AD25" s="36"/>
      <x:c r="AE25" s="36"/>
      <x:c r="AF25" s="36"/>
      <x:c r="AI25" s="36" t="str">
        <x:f>AA18</x:f>
        <x:v>1932</x:v>
      </x:c>
      <x:c r="AJ25" s="68" t="n">
        <x:f>'Annual totals'!I14</x:f>
        <x:v>36.05998945600365</x:v>
      </x:c>
      <x:c r="AK25" s="68" t="n">
        <x:f>'Annual totals'!J14</x:f>
        <x:v>40.87569918575431</x:v>
      </x:c>
    </x:row>
    <x:row r="26" ht="16.5" customHeight="1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  <x:c r="S26" s="22"/>
      <x:c r="T26" s="22"/>
      <x:c r="U26" s="22"/>
      <x:c r="V26" s="22"/>
      <x:c r="W26" s="22"/>
      <x:c r="AA26" s="36"/>
      <x:c r="AB26" s="36"/>
      <x:c r="AC26" s="36"/>
      <x:c r="AD26" s="36"/>
      <x:c r="AE26" s="36"/>
      <x:c r="AF26" s="36"/>
      <x:c r="AI26" s="36" t="str">
        <x:f>AA19</x:f>
        <x:v>1933</x:v>
      </x:c>
      <x:c r="AJ26" s="68" t="n">
        <x:f>'Annual totals'!I15</x:f>
        <x:v>28.89438924654819</x:v>
      </x:c>
      <x:c r="AK26" s="68" t="n">
        <x:f>'Annual totals'!J15</x:f>
        <x:v>30.690648264959094</x:v>
      </x:c>
    </x:row>
    <x:row r="27" ht="16.5" customHeight="1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  <x:c r="S27" s="22"/>
      <x:c r="T27" s="22"/>
      <x:c r="U27" s="22"/>
      <x:c r="V27" s="22"/>
      <x:c r="W27" s="22"/>
      <x:c r="AA27" s="36"/>
      <x:c r="AB27" s="36"/>
      <x:c r="AC27" s="36"/>
      <x:c r="AD27" s="36"/>
      <x:c r="AE27" s="36"/>
      <x:c r="AF27" s="36"/>
      <x:c r="AI27" s="36" t="str">
        <x:f>AA20</x:f>
        <x:v>1934</x:v>
      </x:c>
      <x:c r="AJ27" s="68" t="n">
        <x:f>'Annual totals'!I16</x:f>
        <x:v>35.550980885823506</x:v>
      </x:c>
      <x:c r="AK27" s="68" t="n">
        <x:f>'Annual totals'!J16</x:f>
        <x:v>32.0253105318216</x:v>
      </x:c>
    </x:row>
    <x:row r="28" ht="16.5" customHeight="1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  <x:c r="S28" s="22"/>
      <x:c r="T28" s="22"/>
      <x:c r="U28" s="22"/>
      <x:c r="V28" s="22"/>
      <x:c r="W28" s="22"/>
      <x:c r="AA28" s="36" t="str">
        <x:v>Monthly totals</x:v>
      </x:c>
      <x:c r="AB28" s="36"/>
      <x:c r="AC28" s="36"/>
      <x:c r="AD28" s="36"/>
      <x:c r="AE28" s="36"/>
      <x:c r="AF28" s="36"/>
      <x:c r="AI28" s="36" t="str">
        <x:f>AA21</x:f>
        <x:v>1935</x:v>
      </x:c>
      <x:c r="AJ28" s="68" t="n">
        <x:f>'Annual totals'!I17</x:f>
        <x:v>38.766280227460356</x:v>
      </x:c>
      <x:c r="AK28" s="68" t="n">
        <x:f>'Annual totals'!J17</x:f>
        <x:v>33.78706271985701</x:v>
      </x:c>
    </x:row>
    <x:row r="29" ht="16.5" customHeight="1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  <x:c r="L29" s="22"/>
      <x:c r="M29" s="22"/>
      <x:c r="N29" s="22"/>
      <x:c r="O29" s="22"/>
      <x:c r="P29" s="22"/>
      <x:c r="Q29" s="22"/>
      <x:c r="R29" s="22"/>
      <x:c r="S29" s="22"/>
      <x:c r="T29" s="22"/>
      <x:c r="U29" s="22"/>
      <x:c r="V29" s="22"/>
      <x:c r="W29" s="22"/>
      <x:c r="AA29" s="42" t="str">
        <x:v>Month</x:v>
      </x:c>
      <x:c r="AB29" s="42" t="str">
        <x:v>Exports</x:v>
      </x:c>
      <x:c r="AC29" s="42" t="str">
        <x:v>Imports</x:v>
      </x:c>
      <x:c r="AD29" s="42" t="str">
        <x:v>Trade balance</x:v>
      </x:c>
      <x:c r="AE29" s="42" t="str">
        <x:v>Surplus</x:v>
      </x:c>
      <x:c r="AF29" s="42" t="str">
        <x:v>Deficit</x:v>
      </x:c>
      <x:c r="AI29" s="36" t="str">
        <x:f>AA22</x:f>
        <x:v>1936</x:v>
      </x:c>
      <x:c r="AJ29" s="68" t="n">
        <x:f>'Annual totals'!I18</x:f>
        <x:v>39.203958033001726</x:v>
      </x:c>
      <x:c r="AK29" s="68" t="n">
        <x:f>'Annual totals'!J18</x:f>
        <x:v>39.659641831302736</x:v>
      </x:c>
    </x:row>
    <x:row r="30" ht="16.5" customHeight="1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  <x:c r="L30" s="22"/>
      <x:c r="M30" s="22"/>
      <x:c r="N30" s="22"/>
      <x:c r="O30" s="22"/>
      <x:c r="P30" s="22"/>
      <x:c r="Q30" s="22"/>
      <x:c r="R30" s="22"/>
      <x:c r="S30" s="22"/>
      <x:c r="T30" s="22"/>
      <x:c r="U30" s="22"/>
      <x:c r="V30" s="22"/>
      <x:c r="W30" s="22"/>
      <x:c r="AA30" s="46" t="str">
        <x:f>YEAR('Monthly totals'!A2)&amp;"-"&amp;IF(MONTH('Monthly totals'!A2)&lt;10,"0","")&amp;MONTH('Monthly totals'!A2)</x:f>
        <x:v>1924-01</x:v>
      </x:c>
      <x:c r="AB30" s="44" t="n">
        <x:f>'Monthly totals'!B2</x:f>
        <x:v>801.3676666666667</x:v>
      </x:c>
      <x:c r="AC30" s="44" t="n">
        <x:f>'Monthly totals'!C2</x:f>
        <x:v>809.788</x:v>
      </x:c>
      <x:c r="AD30" s="44" t="n">
        <x:f>'Monthly totals'!D2</x:f>
        <x:v>-8.42033333333336</x:v>
      </x:c>
      <x:c r="AE30" s="44" t="n">
        <x:f>MAX(AD30,0)</x:f>
        <x:v>0</x:v>
      </x:c>
      <x:c r="AF30" s="44" t="n">
        <x:f>MIN(AD30,0)</x:f>
        <x:v>-8.42033333333336</x:v>
      </x:c>
      <x:c r="AI30" s="36" t="str">
        <x:f>AA23</x:f>
        <x:v>1937</x:v>
      </x:c>
      <x:c r="AJ30" s="68" t="n">
        <x:f>'Annual totals'!I19</x:f>
        <x:v>58.455264044079705</x:v>
      </x:c>
      <x:c r="AK30" s="68" t="n">
        <x:f>'Annual totals'!J19</x:f>
        <x:v>55.02357016469403</x:v>
      </x:c>
    </x:row>
    <x:row r="31" ht="16.5" customHeight="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  <x:c r="L31" s="22"/>
      <x:c r="M31" s="22"/>
      <x:c r="N31" s="22"/>
      <x:c r="O31" s="22"/>
      <x:c r="P31" s="22"/>
      <x:c r="Q31" s="22"/>
      <x:c r="R31" s="22"/>
      <x:c r="S31" s="22"/>
      <x:c r="T31" s="22"/>
      <x:c r="U31" s="22"/>
      <x:c r="V31" s="22"/>
      <x:c r="W31" s="22"/>
      <x:c r="AA31" s="46" t="str">
        <x:f>YEAR('Monthly totals'!A3)&amp;"-"&amp;IF(MONTH('Monthly totals'!A3)&lt;10,"0","")&amp;MONTH('Monthly totals'!A3)</x:f>
        <x:v>1924-02</x:v>
      </x:c>
      <x:c r="AB31" s="44" t="n">
        <x:f>'Monthly totals'!B3</x:f>
        <x:v>1255.2666666666667</x:v>
      </x:c>
      <x:c r="AC31" s="44" t="n">
        <x:f>'Monthly totals'!C3</x:f>
        <x:v>1245.519</x:v>
      </x:c>
      <x:c r="AD31" s="44" t="n">
        <x:f>'Monthly totals'!D3</x:f>
        <x:v>9.747666666666646</x:v>
      </x:c>
      <x:c r="AE31" s="44" t="n">
        <x:f>MAX(AD31,0)</x:f>
        <x:v>9.747666666666646</x:v>
      </x:c>
      <x:c r="AF31" s="44" t="n">
        <x:f>MIN(AD31,0)</x:f>
        <x:v>0</x:v>
      </x:c>
      <x:c r="AI31" s="36" t="str">
        <x:f>AA24</x:f>
        <x:v>1938</x:v>
      </x:c>
      <x:c r="AJ31" s="68" t="n">
        <x:f>'Annual totals'!I20</x:f>
        <x:v>49.92721305746185</x:v>
      </x:c>
      <x:c r="AK31" s="68" t="n">
        <x:f>'Annual totals'!J20</x:f>
        <x:v>42.04033819661409</x:v>
      </x:c>
    </x:row>
    <x:row r="32" ht="16.5" customHeight="1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22"/>
      <x:c r="L32" s="22"/>
      <x:c r="M32" s="22"/>
      <x:c r="N32" s="22"/>
      <x:c r="O32" s="22"/>
      <x:c r="P32" s="22"/>
      <x:c r="Q32" s="22"/>
      <x:c r="R32" s="22"/>
      <x:c r="S32" s="22"/>
      <x:c r="T32" s="22"/>
      <x:c r="U32" s="22"/>
      <x:c r="V32" s="22"/>
      <x:c r="W32" s="22"/>
      <x:c r="AA32" s="46" t="str">
        <x:f>YEAR('Monthly totals'!A4)&amp;"-"&amp;IF(MONTH('Monthly totals'!A4)&lt;10,"0","")&amp;MONTH('Monthly totals'!A4)</x:f>
        <x:v>1924-03</x:v>
      </x:c>
      <x:c r="AB32" s="44" t="n">
        <x:f>'Monthly totals'!B4</x:f>
        <x:v>1343.0516666666667</x:v>
      </x:c>
      <x:c r="AC32" s="44" t="n">
        <x:f>'Monthly totals'!C4</x:f>
        <x:v>1124.189</x:v>
      </x:c>
      <x:c r="AD32" s="44" t="n">
        <x:f>'Monthly totals'!D4</x:f>
        <x:v>218.86266666666666</x:v>
      </x:c>
      <x:c r="AE32" s="44" t="n">
        <x:f>MAX(AD32,0)</x:f>
        <x:v>218.86266666666666</x:v>
      </x:c>
      <x:c r="AF32" s="44" t="n">
        <x:f>MIN(AD32,0)</x:f>
        <x:v>0</x:v>
      </x:c>
      <x:c r="AI32" s="36"/>
      <x:c r="AJ32" s="36"/>
      <x:c r="AK32" s="36"/>
    </x:row>
    <x:row r="33" ht="16.5" customHeight="1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  <x:c r="L33" s="22"/>
      <x:c r="M33" s="22"/>
      <x:c r="N33" s="22"/>
      <x:c r="O33" s="22"/>
      <x:c r="P33" s="22"/>
      <x:c r="Q33" s="22"/>
      <x:c r="R33" s="22"/>
      <x:c r="S33" s="22"/>
      <x:c r="T33" s="22"/>
      <x:c r="U33" s="22"/>
      <x:c r="V33" s="22"/>
      <x:c r="W33" s="22"/>
      <x:c r="AA33" s="46" t="str">
        <x:f>YEAR('Monthly totals'!A5)&amp;"-"&amp;IF(MONTH('Monthly totals'!A5)&lt;10,"0","")&amp;MONTH('Monthly totals'!A5)</x:f>
        <x:v>1924-04</x:v>
      </x:c>
      <x:c r="AB33" s="44" t="n">
        <x:f>'Monthly totals'!B5</x:f>
        <x:v>1509.1636666666668</x:v>
      </x:c>
      <x:c r="AC33" s="44" t="n">
        <x:f>'Monthly totals'!C5</x:f>
        <x:v>1274.156</x:v>
      </x:c>
      <x:c r="AD33" s="44" t="n">
        <x:f>'Monthly totals'!D5</x:f>
        <x:v>235.00766666666686</x:v>
      </x:c>
      <x:c r="AE33" s="44" t="n">
        <x:f>MAX(AD33,0)</x:f>
        <x:v>235.00766666666686</x:v>
      </x:c>
      <x:c r="AF33" s="44" t="n">
        <x:f>MIN(AD33,0)</x:f>
        <x:v>0</x:v>
      </x:c>
      <x:c r="AI33" s="36"/>
      <x:c r="AJ33" s="36"/>
      <x:c r="AK33" s="36"/>
    </x:row>
    <x:row r="34" ht="16.5" customHeight="1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  <x:c r="L34" s="22"/>
      <x:c r="M34" s="22"/>
      <x:c r="N34" s="22"/>
      <x:c r="O34" s="22"/>
      <x:c r="P34" s="22"/>
      <x:c r="Q34" s="22"/>
      <x:c r="R34" s="22"/>
      <x:c r="S34" s="22"/>
      <x:c r="T34" s="22"/>
      <x:c r="U34" s="22"/>
      <x:c r="V34" s="22"/>
      <x:c r="W34" s="22"/>
      <x:c r="AA34" s="46" t="str">
        <x:f>YEAR('Monthly totals'!A6)&amp;"-"&amp;IF(MONTH('Monthly totals'!A6)&lt;10,"0","")&amp;MONTH('Monthly totals'!A6)</x:f>
        <x:v>1924-05</x:v>
      </x:c>
      <x:c r="AB34" s="44" t="n">
        <x:f>'Monthly totals'!B6</x:f>
        <x:v>1601.2576666666666</x:v>
      </x:c>
      <x:c r="AC34" s="44" t="n">
        <x:f>'Monthly totals'!C6</x:f>
        <x:v>1575.688</x:v>
      </x:c>
      <x:c r="AD34" s="44" t="n">
        <x:f>'Monthly totals'!D6</x:f>
        <x:v>25.569666666666535</x:v>
      </x:c>
      <x:c r="AE34" s="44" t="n">
        <x:f>MAX(AD34,0)</x:f>
        <x:v>25.569666666666535</x:v>
      </x:c>
      <x:c r="AF34" s="44" t="n">
        <x:f>MIN(AD34,0)</x:f>
        <x:v>0</x:v>
      </x:c>
      <x:c r="AI34" s="36"/>
      <x:c r="AJ34" s="36"/>
      <x:c r="AK34" s="36"/>
    </x:row>
    <x:row r="35" ht="16.5" customHeight="1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  <x:c r="L35" s="22"/>
      <x:c r="M35" s="22"/>
      <x:c r="N35" s="22"/>
      <x:c r="O35" s="22"/>
      <x:c r="P35" s="22"/>
      <x:c r="Q35" s="22"/>
      <x:c r="R35" s="22"/>
      <x:c r="S35" s="22"/>
      <x:c r="T35" s="22"/>
      <x:c r="U35" s="22"/>
      <x:c r="V35" s="22"/>
      <x:c r="W35" s="22"/>
      <x:c r="AA35" s="46" t="str">
        <x:f>YEAR('Monthly totals'!A7)&amp;"-"&amp;IF(MONTH('Monthly totals'!A7)&lt;10,"0","")&amp;MONTH('Monthly totals'!A7)</x:f>
        <x:v>1924-06</x:v>
      </x:c>
      <x:c r="AB35" s="44" t="n">
        <x:f>'Monthly totals'!B7</x:f>
        <x:v>1328.1166666666668</x:v>
      </x:c>
      <x:c r="AC35" s="44" t="n">
        <x:f>'Monthly totals'!C7</x:f>
        <x:v>1230.125</x:v>
      </x:c>
      <x:c r="AD35" s="44" t="n">
        <x:f>'Monthly totals'!D7</x:f>
        <x:v>97.99166666666679</x:v>
      </x:c>
      <x:c r="AE35" s="44" t="n">
        <x:f>MAX(AD35,0)</x:f>
        <x:v>97.99166666666679</x:v>
      </x:c>
      <x:c r="AF35" s="44" t="n">
        <x:f>MIN(AD35,0)</x:f>
        <x:v>0</x:v>
      </x:c>
      <x:c r="AI35" s="36"/>
      <x:c r="AJ35" s="36"/>
      <x:c r="AK35" s="36"/>
    </x:row>
    <x:row r="36" ht="16.5" customHeight="1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22"/>
      <x:c r="L36" s="22"/>
      <x:c r="M36" s="22"/>
      <x:c r="N36" s="22"/>
      <x:c r="O36" s="22"/>
      <x:c r="P36" s="22"/>
      <x:c r="Q36" s="22"/>
      <x:c r="R36" s="22"/>
      <x:c r="S36" s="22"/>
      <x:c r="T36" s="22"/>
      <x:c r="U36" s="22"/>
      <x:c r="V36" s="22"/>
      <x:c r="W36" s="22"/>
      <x:c r="AA36" s="46" t="str">
        <x:f>YEAR('Monthly totals'!A8)&amp;"-"&amp;IF(MONTH('Monthly totals'!A8)&lt;10,"0","")&amp;MONTH('Monthly totals'!A8)</x:f>
        <x:v>1924-07</x:v>
      </x:c>
      <x:c r="AB36" s="44" t="n">
        <x:f>'Monthly totals'!B8</x:f>
        <x:v>1312.9826666666668</x:v>
      </x:c>
      <x:c r="AC36" s="44" t="n">
        <x:f>'Monthly totals'!C8</x:f>
        <x:v>1229.527</x:v>
      </x:c>
      <x:c r="AD36" s="44" t="n">
        <x:f>'Monthly totals'!D8</x:f>
        <x:v>83.45566666666673</x:v>
      </x:c>
      <x:c r="AE36" s="44" t="n">
        <x:f>MAX(AD36,0)</x:f>
        <x:v>83.45566666666673</x:v>
      </x:c>
      <x:c r="AF36" s="44" t="n">
        <x:f>MIN(AD36,0)</x:f>
        <x:v>0</x:v>
      </x:c>
      <x:c r="AI36" s="67" t="str">
        <x:v>Month</x:v>
      </x:c>
      <x:c r="AJ36" s="67" t="str">
        <x:v>Exports</x:v>
      </x:c>
      <x:c r="AK36" s="67" t="str">
        <x:v>Imports</x:v>
      </x:c>
    </x:row>
    <x:row r="37" ht="16.5" customHeight="1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22"/>
      <x:c r="L37" s="22"/>
      <x:c r="M37" s="22"/>
      <x:c r="N37" s="22"/>
      <x:c r="O37" s="22"/>
      <x:c r="P37" s="22"/>
      <x:c r="Q37" s="22"/>
      <x:c r="R37" s="22"/>
      <x:c r="S37" s="22"/>
      <x:c r="T37" s="22"/>
      <x:c r="U37" s="22"/>
      <x:c r="V37" s="22"/>
      <x:c r="W37" s="22"/>
      <x:c r="AA37" s="46" t="str">
        <x:f>YEAR('Monthly totals'!A9)&amp;"-"&amp;IF(MONTH('Monthly totals'!A9)&lt;10,"0","")&amp;MONTH('Monthly totals'!A9)</x:f>
        <x:v>1924-08</x:v>
      </x:c>
      <x:c r="AB37" s="44" t="n">
        <x:f>'Monthly totals'!B9</x:f>
        <x:v>1112.1016666666667</x:v>
      </x:c>
      <x:c r="AC37" s="44" t="n">
        <x:f>'Monthly totals'!C9</x:f>
        <x:v>1220.941</x:v>
      </x:c>
      <x:c r="AD37" s="44" t="n">
        <x:f>'Monthly totals'!D9</x:f>
        <x:v>-108.83933333333334</x:v>
      </x:c>
      <x:c r="AE37" s="44" t="n">
        <x:f>MAX(AD37,0)</x:f>
        <x:v>0</x:v>
      </x:c>
      <x:c r="AF37" s="44" t="n">
        <x:f>MIN(AD37,0)</x:f>
        <x:v>-108.83933333333334</x:v>
      </x:c>
      <x:c r="AI37" s="36" t="str">
        <x:f>AA30</x:f>
        <x:v>1924-01</x:v>
      </x:c>
      <x:c r="AJ37" s="68" t="n">
        <x:f>'Monthly totals'!I2</x:f>
        <x:v>47.13372936517272</x:v>
      </x:c>
      <x:c r="AK37" s="68" t="n">
        <x:f>'Monthly totals'!J2</x:f>
        <x:v>48.89089244206523</x:v>
      </x:c>
    </x:row>
    <x:row r="38" ht="16.5" customHeight="1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22"/>
      <x:c r="L38" s="22"/>
      <x:c r="M38" s="22"/>
      <x:c r="N38" s="22"/>
      <x:c r="O38" s="22"/>
      <x:c r="P38" s="22"/>
      <x:c r="Q38" s="22"/>
      <x:c r="R38" s="22"/>
      <x:c r="S38" s="22"/>
      <x:c r="T38" s="22"/>
      <x:c r="U38" s="22"/>
      <x:c r="V38" s="22"/>
      <x:c r="W38" s="22"/>
      <x:c r="AA38" s="46" t="str">
        <x:f>YEAR('Monthly totals'!A10)&amp;"-"&amp;IF(MONTH('Monthly totals'!A10)&lt;10,"0","")&amp;MONTH('Monthly totals'!A10)</x:f>
        <x:v>1924-09</x:v>
      </x:c>
      <x:c r="AB38" s="44" t="n">
        <x:f>'Monthly totals'!B10</x:f>
        <x:v>1429.5566666666668</x:v>
      </x:c>
      <x:c r="AC38" s="44" t="n">
        <x:f>'Monthly totals'!C10</x:f>
        <x:v>1456.382</x:v>
      </x:c>
      <x:c r="AD38" s="44" t="n">
        <x:f>'Monthly totals'!D10</x:f>
        <x:v>-26.82533333333322</x:v>
      </x:c>
      <x:c r="AE38" s="44" t="n">
        <x:f>MAX(AD38,0)</x:f>
        <x:v>0</x:v>
      </x:c>
      <x:c r="AF38" s="44" t="n">
        <x:f>MIN(AD38,0)</x:f>
        <x:v>-26.82533333333322</x:v>
      </x:c>
      <x:c r="AI38" s="36" t="str">
        <x:f>AA31</x:f>
        <x:v>1924-02</x:v>
      </x:c>
      <x:c r="AJ38" s="68" t="n">
        <x:f>'Monthly totals'!I3</x:f>
        <x:v>73.83052974159902</x:v>
      </x:c>
      <x:c r="AK38" s="68" t="n">
        <x:f>'Monthly totals'!J3</x:f>
        <x:v>75.1981203272321</x:v>
      </x:c>
    </x:row>
    <x:row r="39" ht="16.5" customHeight="1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22"/>
      <x:c r="L39" s="22"/>
      <x:c r="M39" s="22"/>
      <x:c r="N39" s="22"/>
      <x:c r="O39" s="22"/>
      <x:c r="P39" s="22"/>
      <x:c r="Q39" s="22"/>
      <x:c r="R39" s="22"/>
      <x:c r="S39" s="22"/>
      <x:c r="T39" s="22"/>
      <x:c r="U39" s="22"/>
      <x:c r="V39" s="22"/>
      <x:c r="W39" s="22"/>
      <x:c r="AA39" s="46" t="str">
        <x:f>YEAR('Monthly totals'!A11)&amp;"-"&amp;IF(MONTH('Monthly totals'!A11)&lt;10,"0","")&amp;MONTH('Monthly totals'!A11)</x:f>
        <x:v>1924-10</x:v>
      </x:c>
      <x:c r="AB39" s="44" t="n">
        <x:f>'Monthly totals'!B11</x:f>
        <x:v>1462.7066666666667</x:v>
      </x:c>
      <x:c r="AC39" s="44" t="n">
        <x:f>'Monthly totals'!C11</x:f>
        <x:v>1354.7</x:v>
      </x:c>
      <x:c r="AD39" s="44" t="n">
        <x:f>'Monthly totals'!D11</x:f>
        <x:v>108.00666666666666</x:v>
      </x:c>
      <x:c r="AE39" s="44" t="n">
        <x:f>MAX(AD39,0)</x:f>
        <x:v>108.00666666666666</x:v>
      </x:c>
      <x:c r="AF39" s="44" t="n">
        <x:f>MIN(AD39,0)</x:f>
        <x:v>0</x:v>
      </x:c>
      <x:c r="AI39" s="36" t="str">
        <x:f>AA32</x:f>
        <x:v>1924-03</x:v>
      </x:c>
      <x:c r="AJ39" s="68" t="n">
        <x:f>'Monthly totals'!I4</x:f>
        <x:v>78.99374583382348</x:v>
      </x:c>
      <x:c r="AK39" s="68" t="n">
        <x:f>'Monthly totals'!J4</x:f>
        <x:v>67.87283027601406</x:v>
      </x:c>
    </x:row>
    <x:row r="40" ht="16.5" customHeight="1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22"/>
      <x:c r="L40" s="22"/>
      <x:c r="M40" s="22"/>
      <x:c r="N40" s="22"/>
      <x:c r="O40" s="22"/>
      <x:c r="P40" s="22"/>
      <x:c r="Q40" s="22"/>
      <x:c r="R40" s="22"/>
      <x:c r="S40" s="22"/>
      <x:c r="T40" s="22"/>
      <x:c r="U40" s="22"/>
      <x:c r="V40" s="22"/>
      <x:c r="W40" s="22"/>
      <x:c r="AA40" s="46" t="str">
        <x:f>YEAR('Monthly totals'!A12)&amp;"-"&amp;IF(MONTH('Monthly totals'!A12)&lt;10,"0","")&amp;MONTH('Monthly totals'!A12)</x:f>
        <x:v>1924-11</x:v>
      </x:c>
      <x:c r="AB40" s="44" t="n">
        <x:f>'Monthly totals'!B12</x:f>
        <x:v>1766.5206666666668</x:v>
      </x:c>
      <x:c r="AC40" s="44" t="n">
        <x:f>'Monthly totals'!C12</x:f>
        <x:v>1515.785</x:v>
      </x:c>
      <x:c r="AD40" s="44" t="n">
        <x:f>'Monthly totals'!D12</x:f>
        <x:v>250.7356666666667</x:v>
      </x:c>
      <x:c r="AE40" s="44" t="n">
        <x:f>MAX(AD40,0)</x:f>
        <x:v>250.7356666666667</x:v>
      </x:c>
      <x:c r="AF40" s="44" t="n">
        <x:f>MIN(AD40,0)</x:f>
        <x:v>0</x:v>
      </x:c>
      <x:c r="AI40" s="36" t="str">
        <x:f>AA33</x:f>
        <x:v>1924-04</x:v>
      </x:c>
      <x:c r="AJ40" s="68" t="n">
        <x:f>'Monthly totals'!I5</x:f>
        <x:v>88.76389052268361</x:v>
      </x:c>
      <x:c r="AK40" s="68" t="n">
        <x:f>'Monthly totals'!J5</x:f>
        <x:v>76.92707714909588</x:v>
      </x:c>
    </x:row>
    <x:row r="41" ht="16.5" customHeight="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22"/>
      <x:c r="L41" s="22"/>
      <x:c r="M41" s="22"/>
      <x:c r="N41" s="22"/>
      <x:c r="O41" s="22"/>
      <x:c r="P41" s="22"/>
      <x:c r="Q41" s="22"/>
      <x:c r="R41" s="22"/>
      <x:c r="S41" s="22"/>
      <x:c r="T41" s="22"/>
      <x:c r="U41" s="22"/>
      <x:c r="V41" s="22"/>
      <x:c r="W41" s="22"/>
      <x:c r="AA41" s="46" t="str">
        <x:f>YEAR('Monthly totals'!A13)&amp;"-"&amp;IF(MONTH('Monthly totals'!A13)&lt;10,"0","")&amp;MONTH('Monthly totals'!A13)</x:f>
        <x:v>1924-12</x:v>
      </x:c>
      <x:c r="AB41" s="44" t="n">
        <x:f>'Monthly totals'!B13</x:f>
        <x:v>2113.2826666666665</x:v>
      </x:c>
      <x:c r="AC41" s="44" t="n">
        <x:f>'Monthly totals'!C13</x:f>
        <x:v>1817.903</x:v>
      </x:c>
      <x:c r="AD41" s="44" t="n">
        <x:f>'Monthly totals'!D13</x:f>
        <x:v>295.3796666666665</x:v>
      </x:c>
      <x:c r="AE41" s="44" t="n">
        <x:f>MAX(AD41,0)</x:f>
        <x:v>295.3796666666665</x:v>
      </x:c>
      <x:c r="AF41" s="44" t="n">
        <x:f>MIN(AD41,0)</x:f>
        <x:v>0</x:v>
      </x:c>
      <x:c r="AI41" s="36" t="str">
        <x:f>AA34</x:f>
        <x:v>1924-05</x:v>
      </x:c>
      <x:c r="AJ41" s="68" t="n">
        <x:f>'Monthly totals'!I6</x:f>
        <x:v>94.18054738658196</x:v>
      </x:c>
      <x:c r="AK41" s="68" t="n">
        <x:f>'Monthly totals'!J6</x:f>
        <x:v>95.1320500306906</x:v>
      </x:c>
    </x:row>
    <x:row r="42" ht="16.5" customHeight="1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22"/>
      <x:c r="L42" s="22"/>
      <x:c r="M42" s="22"/>
      <x:c r="N42" s="22"/>
      <x:c r="O42" s="22"/>
      <x:c r="P42" s="22"/>
      <x:c r="Q42" s="22"/>
      <x:c r="R42" s="22"/>
      <x:c r="S42" s="22"/>
      <x:c r="T42" s="22"/>
      <x:c r="U42" s="22"/>
      <x:c r="V42" s="22"/>
      <x:c r="W42" s="22"/>
      <x:c r="AA42" s="46" t="str">
        <x:f>YEAR('Monthly totals'!A14)&amp;"-"&amp;IF(MONTH('Monthly totals'!A14)&lt;10,"0","")&amp;MONTH('Monthly totals'!A14)</x:f>
        <x:v>1925-01</x:v>
      </x:c>
      <x:c r="AB42" s="44" t="n">
        <x:f>'Monthly totals'!B14</x:f>
        <x:v>1473.9</x:v>
      </x:c>
      <x:c r="AC42" s="44" t="n">
        <x:f>'Monthly totals'!C14</x:f>
        <x:v>1406.8</x:v>
      </x:c>
      <x:c r="AD42" s="44" t="n">
        <x:f>'Monthly totals'!D14</x:f>
        <x:v>67.10000000000014</x:v>
      </x:c>
      <x:c r="AE42" s="44" t="n">
        <x:f>MAX(AD42,0)</x:f>
        <x:v>67.10000000000014</x:v>
      </x:c>
      <x:c r="AF42" s="44" t="n">
        <x:f>MIN(AD42,0)</x:f>
        <x:v>0</x:v>
      </x:c>
      <x:c r="AI42" s="36" t="str">
        <x:f>AA35</x:f>
        <x:v>1924-06</x:v>
      </x:c>
      <x:c r="AJ42" s="68" t="n">
        <x:f>'Monthly totals'!I7</x:f>
        <x:v>78.11531976630201</x:v>
      </x:c>
      <x:c r="AK42" s="68" t="n">
        <x:f>'Monthly totals'!J7</x:f>
        <x:v>74.26870868090845</x:v>
      </x:c>
    </x:row>
    <x:row r="43" ht="16.5" customHeight="1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22"/>
      <x:c r="L43" s="22"/>
      <x:c r="M43" s="22"/>
      <x:c r="N43" s="22"/>
      <x:c r="O43" s="22"/>
      <x:c r="P43" s="22"/>
      <x:c r="Q43" s="22"/>
      <x:c r="R43" s="22"/>
      <x:c r="S43" s="22"/>
      <x:c r="T43" s="22"/>
      <x:c r="U43" s="22"/>
      <x:c r="V43" s="22"/>
      <x:c r="W43" s="22"/>
      <x:c r="AA43" s="46" t="str">
        <x:f>YEAR('Monthly totals'!A15)&amp;"-"&amp;IF(MONTH('Monthly totals'!A15)&lt;10,"0","")&amp;MONTH('Monthly totals'!A15)</x:f>
        <x:v>1925-02</x:v>
      </x:c>
      <x:c r="AB43" s="44" t="n">
        <x:f>'Monthly totals'!B15</x:f>
        <x:v>1517.5</x:v>
      </x:c>
      <x:c r="AC43" s="44" t="n">
        <x:f>'Monthly totals'!C15</x:f>
        <x:v>1328.4</x:v>
      </x:c>
      <x:c r="AD43" s="44" t="n">
        <x:f>'Monthly totals'!D15</x:f>
        <x:v>189.0999999999999</x:v>
      </x:c>
      <x:c r="AE43" s="44" t="n">
        <x:f>MAX(AD43,0)</x:f>
        <x:v>189.0999999999999</x:v>
      </x:c>
      <x:c r="AF43" s="44" t="n">
        <x:f>MIN(AD43,0)</x:f>
        <x:v>0</x:v>
      </x:c>
      <x:c r="AI43" s="36" t="str">
        <x:f>AA36</x:f>
        <x:v>1924-07</x:v>
      </x:c>
      <x:c r="AJ43" s="68" t="n">
        <x:f>'Monthly totals'!I8</x:f>
        <x:v>77.22518919342822</x:v>
      </x:c>
      <x:c r="AK43" s="68" t="n">
        <x:f>'Monthly totals'!J8</x:f>
        <x:v>74.2326044737822</x:v>
      </x:c>
    </x:row>
    <x:row r="44" ht="16.5" customHeight="1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  <x:c r="L44" s="22"/>
      <x:c r="M44" s="22"/>
      <x:c r="N44" s="22"/>
      <x:c r="O44" s="22"/>
      <x:c r="P44" s="22"/>
      <x:c r="Q44" s="22"/>
      <x:c r="R44" s="22"/>
      <x:c r="S44" s="22"/>
      <x:c r="T44" s="22"/>
      <x:c r="U44" s="22"/>
      <x:c r="V44" s="22"/>
      <x:c r="W44" s="22"/>
      <x:c r="AA44" s="46" t="str">
        <x:f>YEAR('Monthly totals'!A16)&amp;"-"&amp;IF(MONTH('Monthly totals'!A16)&lt;10,"0","")&amp;MONTH('Monthly totals'!A16)</x:f>
        <x:v>1925-03</x:v>
      </x:c>
      <x:c r="AB44" s="44" t="n">
        <x:f>'Monthly totals'!B16</x:f>
        <x:v>1705.1</x:v>
      </x:c>
      <x:c r="AC44" s="44" t="n">
        <x:f>'Monthly totals'!C16</x:f>
        <x:v>1442.1</x:v>
      </x:c>
      <x:c r="AD44" s="44" t="n">
        <x:f>'Monthly totals'!D16</x:f>
        <x:v>263</x:v>
      </x:c>
      <x:c r="AE44" s="44" t="n">
        <x:f>MAX(AD44,0)</x:f>
        <x:v>263</x:v>
      </x:c>
      <x:c r="AF44" s="44" t="n">
        <x:f>MIN(AD44,0)</x:f>
        <x:v>0</x:v>
      </x:c>
      <x:c r="AI44" s="36" t="str">
        <x:f>AA37</x:f>
        <x:v>1924-08</x:v>
      </x:c>
      <x:c r="AJ44" s="68" t="n">
        <x:f>'Monthly totals'!I9</x:f>
        <x:v>65.41004979806297</x:v>
      </x:c>
      <x:c r="AK44" s="68" t="n">
        <x:f>'Monthly totals'!J9</x:f>
        <x:v>73.71422533935741</x:v>
      </x:c>
    </x:row>
    <x:row r="45" ht="16.5" customHeight="1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22"/>
      <x:c r="L45" s="22"/>
      <x:c r="M45" s="22"/>
      <x:c r="N45" s="22"/>
      <x:c r="O45" s="22"/>
      <x:c r="P45" s="22"/>
      <x:c r="Q45" s="22"/>
      <x:c r="R45" s="22"/>
      <x:c r="S45" s="22"/>
      <x:c r="T45" s="22"/>
      <x:c r="U45" s="22"/>
      <x:c r="V45" s="22"/>
      <x:c r="W45" s="22"/>
      <x:c r="AA45" s="46" t="str">
        <x:f>YEAR('Monthly totals'!A17)&amp;"-"&amp;IF(MONTH('Monthly totals'!A17)&lt;10,"0","")&amp;MONTH('Monthly totals'!A17)</x:f>
        <x:v>1925-04</x:v>
      </x:c>
      <x:c r="AB45" s="44" t="n">
        <x:f>'Monthly totals'!B17</x:f>
        <x:v>1476.8</x:v>
      </x:c>
      <x:c r="AC45" s="44" t="n">
        <x:f>'Monthly totals'!C17</x:f>
        <x:v>1273.8</x:v>
      </x:c>
      <x:c r="AD45" s="44" t="n">
        <x:f>'Monthly totals'!D17</x:f>
        <x:v>203</x:v>
      </x:c>
      <x:c r="AE45" s="44" t="n">
        <x:f>MAX(AD45,0)</x:f>
        <x:v>203</x:v>
      </x:c>
      <x:c r="AF45" s="44" t="n">
        <x:f>MIN(AD45,0)</x:f>
        <x:v>0</x:v>
      </x:c>
      <x:c r="AI45" s="36" t="str">
        <x:f>AA38</x:f>
        <x:v>1924-09</x:v>
      </x:c>
      <x:c r="AJ45" s="68" t="n">
        <x:f>'Monthly totals'!I10</x:f>
        <x:v>84.08167666549035</x:v>
      </x:c>
      <x:c r="AK45" s="68" t="n">
        <x:f>'Monthly totals'!J10</x:f>
        <x:v>87.9289588343614</x:v>
      </x:c>
    </x:row>
    <x:row r="46" ht="16.5" customHeight="1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22"/>
      <x:c r="L46" s="22"/>
      <x:c r="M46" s="22"/>
      <x:c r="N46" s="22"/>
      <x:c r="O46" s="22"/>
      <x:c r="P46" s="22"/>
      <x:c r="Q46" s="22"/>
      <x:c r="R46" s="22"/>
      <x:c r="S46" s="22"/>
      <x:c r="T46" s="22"/>
      <x:c r="U46" s="22"/>
      <x:c r="V46" s="22"/>
      <x:c r="W46" s="22"/>
      <x:c r="AA46" s="46" t="str">
        <x:f>YEAR('Monthly totals'!A18)&amp;"-"&amp;IF(MONTH('Monthly totals'!A18)&lt;10,"0","")&amp;MONTH('Monthly totals'!A18)</x:f>
        <x:v>1925-05</x:v>
      </x:c>
      <x:c r="AB46" s="44" t="n">
        <x:f>'Monthly totals'!B18</x:f>
        <x:v>1326.3</x:v>
      </x:c>
      <x:c r="AC46" s="44" t="n">
        <x:f>'Monthly totals'!C18</x:f>
        <x:v>1173.1</x:v>
      </x:c>
      <x:c r="AD46" s="44" t="n">
        <x:f>'Monthly totals'!D18</x:f>
        <x:v>153.20000000000005</x:v>
      </x:c>
      <x:c r="AE46" s="44" t="n">
        <x:f>MAX(AD46,0)</x:f>
        <x:v>153.20000000000005</x:v>
      </x:c>
      <x:c r="AF46" s="44" t="n">
        <x:f>MIN(AD46,0)</x:f>
        <x:v>0</x:v>
      </x:c>
      <x:c r="AI46" s="36" t="str">
        <x:f>AA39</x:f>
        <x:v>1924-10</x:v>
      </x:c>
      <x:c r="AJ46" s="68" t="n">
        <x:f>'Monthly totals'!I11</x:f>
        <x:v>86.03144728071206</x:v>
      </x:c>
      <x:c r="AK46" s="68" t="n">
        <x:f>'Monthly totals'!J11</x:f>
        <x:v>81.7899153744755</x:v>
      </x:c>
    </x:row>
    <x:row r="47" ht="16.5" customHeight="1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2"/>
      <x:c r="L47" s="22"/>
      <x:c r="M47" s="22"/>
      <x:c r="N47" s="22"/>
      <x:c r="O47" s="22"/>
      <x:c r="P47" s="22"/>
      <x:c r="Q47" s="22"/>
      <x:c r="R47" s="22"/>
      <x:c r="S47" s="22"/>
      <x:c r="T47" s="22"/>
      <x:c r="U47" s="22"/>
      <x:c r="V47" s="22"/>
      <x:c r="W47" s="22"/>
      <x:c r="AA47" s="46" t="str">
        <x:f>YEAR('Monthly totals'!A19)&amp;"-"&amp;IF(MONTH('Monthly totals'!A19)&lt;10,"0","")&amp;MONTH('Monthly totals'!A19)</x:f>
        <x:v>1925-06</x:v>
      </x:c>
      <x:c r="AB47" s="44" t="n">
        <x:f>'Monthly totals'!B19</x:f>
        <x:v>1386.6</x:v>
      </x:c>
      <x:c r="AC47" s="44" t="n">
        <x:f>'Monthly totals'!C19</x:f>
        <x:v>1408.2</x:v>
      </x:c>
      <x:c r="AD47" s="44" t="n">
        <x:f>'Monthly totals'!D19</x:f>
        <x:v>-21.600000000000136</x:v>
      </x:c>
      <x:c r="AE47" s="44" t="n">
        <x:f>MAX(AD47,0)</x:f>
        <x:v>0</x:v>
      </x:c>
      <x:c r="AF47" s="44" t="n">
        <x:f>MIN(AD47,0)</x:f>
        <x:v>-21.600000000000136</x:v>
      </x:c>
      <x:c r="AI47" s="36" t="str">
        <x:f>AA40</x:f>
        <x:v>1924-11</x:v>
      </x:c>
      <x:c r="AJ47" s="68" t="n">
        <x:f>'Monthly totals'!I12</x:f>
        <x:v>103.9007567737129</x:v>
      </x:c>
      <x:c r="AK47" s="68" t="n">
        <x:f>'Monthly totals'!J12</x:f>
        <x:v>91.51541070044979</x:v>
      </x:c>
    </x:row>
    <x:row r="48" ht="16.5" customHeight="1">
      <x:c r="A48" s="22"/>
      <x:c r="B48" s="26" t="str">
        <x:v>Trade balances by partner</x:v>
      </x:c>
      <x:c r="C48" s="22"/>
      <x:c r="D48" s="22"/>
      <x:c r="E48" s="22"/>
      <x:c r="F48" s="22"/>
      <x:c r="G48" s="22"/>
      <x:c r="H48" s="22"/>
      <x:c r="I48" s="22"/>
      <x:c r="J48" s="22"/>
      <x:c r="K48" s="22"/>
      <x:c r="L48" s="22"/>
      <x:c r="M48" s="22"/>
      <x:c r="N48" s="22"/>
      <x:c r="O48" s="22"/>
      <x:c r="P48" s="22"/>
      <x:c r="Q48" s="22"/>
      <x:c r="R48" s="22"/>
      <x:c r="S48" s="22"/>
      <x:c r="T48" s="22"/>
      <x:c r="U48" s="22"/>
      <x:c r="V48" s="22"/>
      <x:c r="W48" s="22"/>
      <x:c r="AA48" s="46" t="str">
        <x:f>YEAR('Monthly totals'!A20)&amp;"-"&amp;IF(MONTH('Monthly totals'!A20)&lt;10,"0","")&amp;MONTH('Monthly totals'!A20)</x:f>
        <x:v>1925-07</x:v>
      </x:c>
      <x:c r="AB48" s="44" t="n">
        <x:f>'Monthly totals'!B20</x:f>
        <x:v>1467.1</x:v>
      </x:c>
      <x:c r="AC48" s="44" t="n">
        <x:f>'Monthly totals'!C20</x:f>
        <x:v>946.6</x:v>
      </x:c>
      <x:c r="AD48" s="44" t="n">
        <x:f>'Monthly totals'!D20</x:f>
        <x:v>520.4999999999999</x:v>
      </x:c>
      <x:c r="AE48" s="44" t="n">
        <x:f>MAX(AD48,0)</x:f>
        <x:v>520.4999999999999</x:v>
      </x:c>
      <x:c r="AF48" s="44" t="n">
        <x:f>MIN(AD48,0)</x:f>
        <x:v>0</x:v>
      </x:c>
      <x:c r="AI48" s="36" t="str">
        <x:f>AA41</x:f>
        <x:v>1924-12</x:v>
      </x:c>
      <x:c r="AJ48" s="68" t="n">
        <x:f>'Monthly totals'!I13</x:f>
        <x:v>124.29612202485981</x:v>
      </x:c>
      <x:c r="AK48" s="68" t="n">
        <x:f>'Monthly totals'!J13</x:f>
        <x:v>109.75576329003108</x:v>
      </x:c>
    </x:row>
    <x:row r="49" ht="16.5" customHeight="1">
      <x:c r="A49" s="22"/>
      <x:c r="B49" s="22" t="str">
        <x:v>Year</x:v>
      </x:c>
      <x:c r="C49" s="32" t="n">
        <x:v>1937</x:v>
      </x:c>
      <x:c r="D49" s="24" t="str">
        <x:v>Select a year from 1920 to 1938.</x:v>
      </x:c>
      <x:c r="E49" s="24"/>
      <x:c r="F49" s="24"/>
      <x:c r="G49" s="24"/>
      <x:c r="H49" s="24"/>
      <x:c r="I49" s="24"/>
      <x:c r="J49" s="24"/>
      <x:c r="K49" s="24"/>
      <x:c r="L49" s="24"/>
      <x:c r="M49" s="24" t="str">
        <x:v>Positive = surplus. Negative = deficit.</x:v>
      </x:c>
      <x:c r="N49" s="24"/>
      <x:c r="O49" s="24"/>
      <x:c r="P49" s="24"/>
      <x:c r="Q49" s="24"/>
      <x:c r="R49" s="24"/>
      <x:c r="S49" s="24"/>
      <x:c r="T49" s="24"/>
      <x:c r="U49" s="24"/>
      <x:c r="V49" s="24"/>
      <x:c r="W49" s="22"/>
      <x:c r="AA49" s="46" t="str">
        <x:f>YEAR('Monthly totals'!A21)&amp;"-"&amp;IF(MONTH('Monthly totals'!A21)&lt;10,"0","")&amp;MONTH('Monthly totals'!A21)</x:f>
        <x:v>1925-08</x:v>
      </x:c>
      <x:c r="AB49" s="44" t="n">
        <x:f>'Monthly totals'!B21</x:f>
        <x:v>1338.2</x:v>
      </x:c>
      <x:c r="AC49" s="44" t="n">
        <x:f>'Monthly totals'!C21</x:f>
        <x:v>1329.7</x:v>
      </x:c>
      <x:c r="AD49" s="44" t="n">
        <x:f>'Monthly totals'!D21</x:f>
        <x:v>8.5</x:v>
      </x:c>
      <x:c r="AE49" s="44" t="n">
        <x:f>MAX(AD49,0)</x:f>
        <x:v>8.5</x:v>
      </x:c>
      <x:c r="AF49" s="44" t="n">
        <x:f>MIN(AD49,0)</x:f>
        <x:v>0</x:v>
      </x:c>
      <x:c r="AI49" s="36" t="str">
        <x:f>AA42</x:f>
        <x:v>1925-01</x:v>
      </x:c>
      <x:c r="AJ49" s="68" t="n">
        <x:f>'Monthly totals'!I14</x:f>
        <x:v>86.68980119985883</x:v>
      </x:c>
      <x:c r="AK49" s="68" t="n">
        <x:f>'Monthly totals'!J14</x:f>
        <x:v>84.93544913915414</x:v>
      </x:c>
    </x:row>
    <x:row r="50" ht="16.5" customHeight="1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22"/>
      <x:c r="L50" s="22"/>
      <x:c r="M50" s="22"/>
      <x:c r="N50" s="22"/>
      <x:c r="O50" s="22"/>
      <x:c r="P50" s="22"/>
      <x:c r="Q50" s="22"/>
      <x:c r="R50" s="22"/>
      <x:c r="S50" s="22"/>
      <x:c r="T50" s="22"/>
      <x:c r="U50" s="22"/>
      <x:c r="V50" s="22"/>
      <x:c r="W50" s="22"/>
      <x:c r="AA50" s="46" t="str">
        <x:f>YEAR('Monthly totals'!A22)&amp;"-"&amp;IF(MONTH('Monthly totals'!A22)&lt;10,"0","")&amp;MONTH('Monthly totals'!A22)</x:f>
        <x:v>1925-09</x:v>
      </x:c>
      <x:c r="AB50" s="44" t="n">
        <x:f>'Monthly totals'!B22</x:f>
        <x:v>1687.8</x:v>
      </x:c>
      <x:c r="AC50" s="44" t="n">
        <x:f>'Monthly totals'!C22</x:f>
        <x:v>1669.2</x:v>
      </x:c>
      <x:c r="AD50" s="44" t="n">
        <x:f>'Monthly totals'!D22</x:f>
        <x:v>18.59999999999991</x:v>
      </x:c>
      <x:c r="AE50" s="44" t="n">
        <x:f>MAX(AD50,0)</x:f>
        <x:v>18.59999999999991</x:v>
      </x:c>
      <x:c r="AF50" s="44" t="n">
        <x:f>MIN(AD50,0)</x:f>
        <x:v>0</x:v>
      </x:c>
      <x:c r="AI50" s="36" t="str">
        <x:f>AA43</x:f>
        <x:v>1925-02</x:v>
      </x:c>
      <x:c r="AJ50" s="68" t="n">
        <x:f>'Monthly totals'!I15</x:f>
        <x:v>89.25420538760146</x:v>
      </x:c>
      <x:c r="AK50" s="68" t="n">
        <x:f>'Monthly totals'!J15</x:f>
        <x:v>80.20205476005998</x:v>
      </x:c>
    </x:row>
    <x:row r="51" ht="16.5" customHeight="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22"/>
      <x:c r="L51" s="22"/>
      <x:c r="M51" s="22"/>
      <x:c r="N51" s="22"/>
      <x:c r="O51" s="22"/>
      <x:c r="P51" s="22"/>
      <x:c r="Q51" s="22"/>
      <x:c r="R51" s="22"/>
      <x:c r="S51" s="22"/>
      <x:c r="T51" s="22"/>
      <x:c r="U51" s="22"/>
      <x:c r="V51" s="22"/>
      <x:c r="W51" s="22"/>
      <x:c r="AA51" s="46" t="str">
        <x:f>YEAR('Monthly totals'!A23)&amp;"-"&amp;IF(MONTH('Monthly totals'!A23)&lt;10,"0","")&amp;MONTH('Monthly totals'!A23)</x:f>
        <x:v>1925-10</x:v>
      </x:c>
      <x:c r="AB51" s="44" t="n">
        <x:f>'Monthly totals'!B23</x:f>
        <x:v>1616.4</x:v>
      </x:c>
      <x:c r="AC51" s="44" t="n">
        <x:f>'Monthly totals'!C23</x:f>
        <x:v>1795.4</x:v>
      </x:c>
      <x:c r="AD51" s="44" t="n">
        <x:f>'Monthly totals'!D23</x:f>
        <x:v>-179</x:v>
      </x:c>
      <x:c r="AE51" s="44" t="n">
        <x:f>MAX(AD51,0)</x:f>
        <x:v>0</x:v>
      </x:c>
      <x:c r="AF51" s="44" t="n">
        <x:f>MIN(AD51,0)</x:f>
        <x:v>-179</x:v>
      </x:c>
      <x:c r="AI51" s="36" t="str">
        <x:f>AA44</x:f>
        <x:v>1925-03</x:v>
      </x:c>
      <x:c r="AJ51" s="68" t="n">
        <x:f>'Monthly totals'!I16</x:f>
        <x:v>100.28820138807198</x:v>
      </x:c>
      <x:c r="AK51" s="68" t="n">
        <x:f>'Monthly totals'!J16</x:f>
        <x:v>87.06668410831263</x:v>
      </x:c>
    </x:row>
    <x:row r="52" ht="16.5" customHeight="1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  <x:c r="K52" s="22"/>
      <x:c r="L52" s="22"/>
      <x:c r="M52" s="22"/>
      <x:c r="N52" s="22"/>
      <x:c r="O52" s="22"/>
      <x:c r="P52" s="22"/>
      <x:c r="Q52" s="22"/>
      <x:c r="R52" s="22"/>
      <x:c r="S52" s="22"/>
      <x:c r="T52" s="22"/>
      <x:c r="U52" s="22"/>
      <x:c r="V52" s="22"/>
      <x:c r="W52" s="22"/>
      <x:c r="AA52" s="46" t="str">
        <x:f>YEAR('Monthly totals'!A24)&amp;"-"&amp;IF(MONTH('Monthly totals'!A24)&lt;10,"0","")&amp;MONTH('Monthly totals'!A24)</x:f>
        <x:v>1925-11</x:v>
      </x:c>
      <x:c r="AB52" s="44" t="n">
        <x:f>'Monthly totals'!B24</x:f>
        <x:v>1807.7</x:v>
      </x:c>
      <x:c r="AC52" s="44" t="n">
        <x:f>'Monthly totals'!C24</x:f>
        <x:v>1827.5</x:v>
      </x:c>
      <x:c r="AD52" s="44" t="n">
        <x:f>'Monthly totals'!D24</x:f>
        <x:v>-19.799999999999955</x:v>
      </x:c>
      <x:c r="AE52" s="44" t="n">
        <x:f>MAX(AD52,0)</x:f>
        <x:v>0</x:v>
      </x:c>
      <x:c r="AF52" s="44" t="n">
        <x:f>MIN(AD52,0)</x:f>
        <x:v>-19.799999999999955</x:v>
      </x:c>
      <x:c r="AI52" s="36" t="str">
        <x:f>AA45</x:f>
        <x:v>1925-04</x:v>
      </x:c>
      <x:c r="AJ52" s="68" t="n">
        <x:f>'Monthly totals'!I17</x:f>
        <x:v>86.8603693683096</x:v>
      </x:c>
      <x:c r="AK52" s="68" t="n">
        <x:f>'Monthly totals'!J17</x:f>
        <x:v>76.9055836746194</x:v>
      </x:c>
    </x:row>
    <x:row r="53" ht="16.5" customHeight="1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22"/>
      <x:c r="L53" s="22"/>
      <x:c r="M53" s="22"/>
      <x:c r="N53" s="22"/>
      <x:c r="O53" s="22"/>
      <x:c r="P53" s="22"/>
      <x:c r="Q53" s="22"/>
      <x:c r="R53" s="22"/>
      <x:c r="S53" s="22"/>
      <x:c r="T53" s="22"/>
      <x:c r="U53" s="22"/>
      <x:c r="V53" s="22"/>
      <x:c r="W53" s="22"/>
      <x:c r="AA53" s="46" t="str">
        <x:f>YEAR('Monthly totals'!A25)&amp;"-"&amp;IF(MONTH('Monthly totals'!A25)&lt;10,"0","")&amp;MONTH('Monthly totals'!A25)</x:f>
        <x:v>1925-12</x:v>
      </x:c>
      <x:c r="AB53" s="44" t="n">
        <x:f>'Monthly totals'!B25</x:f>
        <x:v>1949.8</x:v>
      </x:c>
      <x:c r="AC53" s="44" t="n">
        <x:f>'Monthly totals'!C25</x:f>
        <x:v>1978.9</x:v>
      </x:c>
      <x:c r="AD53" s="44" t="n">
        <x:f>'Monthly totals'!D25</x:f>
        <x:v>-29.100000000000136</x:v>
      </x:c>
      <x:c r="AE53" s="44" t="n">
        <x:f>MAX(AD53,0)</x:f>
        <x:v>0</x:v>
      </x:c>
      <x:c r="AF53" s="44" t="n">
        <x:f>MIN(AD53,0)</x:f>
        <x:v>-29.100000000000136</x:v>
      </x:c>
      <x:c r="AI53" s="36" t="str">
        <x:f>AA46</x:f>
        <x:v>1925-05</x:v>
      </x:c>
      <x:c r="AJ53" s="68" t="n">
        <x:f>'Monthly totals'!I18</x:f>
        <x:v>78.00846959181273</x:v>
      </x:c>
      <x:c r="AK53" s="68" t="n">
        <x:f>'Monthly totals'!J18</x:f>
        <x:v>70.82582839432878</x:v>
      </x:c>
    </x:row>
    <x:row r="54" ht="16.5" customHeight="1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2"/>
      <x:c r="R54" s="22"/>
      <x:c r="S54" s="22"/>
      <x:c r="T54" s="22"/>
      <x:c r="U54" s="22"/>
      <x:c r="V54" s="22"/>
      <x:c r="W54" s="22"/>
      <x:c r="AA54" s="46" t="str">
        <x:f>YEAR('Monthly totals'!A26)&amp;"-"&amp;IF(MONTH('Monthly totals'!A26)&lt;10,"0","")&amp;MONTH('Monthly totals'!A26)</x:f>
        <x:v>1926-01</x:v>
      </x:c>
      <x:c r="AB54" s="44" t="n">
        <x:f>'Monthly totals'!B26</x:f>
        <x:v>1178.8</x:v>
      </x:c>
      <x:c r="AC54" s="44" t="n">
        <x:f>'Monthly totals'!C26</x:f>
        <x:v>1117.3</x:v>
      </x:c>
      <x:c r="AD54" s="44" t="n">
        <x:f>'Monthly totals'!D26</x:f>
        <x:v>61.5</x:v>
      </x:c>
      <x:c r="AE54" s="44" t="n">
        <x:f>MAX(AD54,0)</x:f>
        <x:v>61.5</x:v>
      </x:c>
      <x:c r="AF54" s="44" t="n">
        <x:f>MIN(AD54,0)</x:f>
        <x:v>0</x:v>
      </x:c>
      <x:c r="AI54" s="36" t="str">
        <x:f>AA47</x:f>
        <x:v>1925-06</x:v>
      </x:c>
      <x:c r="AJ54" s="68" t="n">
        <x:f>'Monthly totals'!I19</x:f>
        <x:v>81.55511116339254</x:v>
      </x:c>
      <x:c r="AK54" s="68" t="n">
        <x:f>'Monthly totals'!J19</x:f>
        <x:v>85.01997403878083</x:v>
      </x:c>
    </x:row>
    <x:row r="55" ht="16.5" customHeight="1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  <x:c r="Q55" s="22"/>
      <x:c r="R55" s="22"/>
      <x:c r="S55" s="22"/>
      <x:c r="T55" s="22"/>
      <x:c r="U55" s="22"/>
      <x:c r="V55" s="22"/>
      <x:c r="W55" s="22"/>
      <x:c r="AA55" s="46" t="str">
        <x:f>YEAR('Monthly totals'!A27)&amp;"-"&amp;IF(MONTH('Monthly totals'!A27)&lt;10,"0","")&amp;MONTH('Monthly totals'!A27)</x:f>
        <x:v>1926-02</x:v>
      </x:c>
      <x:c r="AB55" s="44" t="n">
        <x:f>'Monthly totals'!B27</x:f>
        <x:v>1475.1</x:v>
      </x:c>
      <x:c r="AC55" s="44" t="n">
        <x:f>'Monthly totals'!C27</x:f>
        <x:v>1280.1</x:v>
      </x:c>
      <x:c r="AD55" s="44" t="n">
        <x:f>'Monthly totals'!D27</x:f>
        <x:v>195</x:v>
      </x:c>
      <x:c r="AE55" s="44" t="n">
        <x:f>MAX(AD55,0)</x:f>
        <x:v>195</x:v>
      </x:c>
      <x:c r="AF55" s="44" t="n">
        <x:f>MIN(AD55,0)</x:f>
        <x:v>0</x:v>
      </x:c>
      <x:c r="AI55" s="36" t="str">
        <x:f>AA48</x:f>
        <x:v>1925-07</x:v>
      </x:c>
      <x:c r="AJ55" s="68" t="n">
        <x:f>'Monthly totals'!I20</x:f>
        <x:v>86.28984825314669</x:v>
      </x:c>
      <x:c r="AK55" s="68" t="n">
        <x:f>'Monthly totals'!J20</x:f>
        <x:v>57.15090713329778</x:v>
      </x:c>
    </x:row>
    <x:row r="56" ht="16.5" customHeight="1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/>
      <x:c r="K56" s="22"/>
      <x:c r="L56" s="22"/>
      <x:c r="M56" s="22"/>
      <x:c r="N56" s="22"/>
      <x:c r="O56" s="22"/>
      <x:c r="P56" s="22"/>
      <x:c r="Q56" s="22"/>
      <x:c r="R56" s="22"/>
      <x:c r="S56" s="22"/>
      <x:c r="T56" s="22"/>
      <x:c r="U56" s="22"/>
      <x:c r="V56" s="22"/>
      <x:c r="W56" s="22"/>
      <x:c r="AA56" s="46" t="str">
        <x:f>YEAR('Monthly totals'!A28)&amp;"-"&amp;IF(MONTH('Monthly totals'!A28)&lt;10,"0","")&amp;MONTH('Monthly totals'!A28)</x:f>
        <x:v>1926-03</x:v>
      </x:c>
      <x:c r="AB56" s="44" t="n">
        <x:f>'Monthly totals'!B28</x:f>
        <x:v>1511.9</x:v>
      </x:c>
      <x:c r="AC56" s="44" t="n">
        <x:f>'Monthly totals'!C28</x:f>
        <x:v>1531.3</x:v>
      </x:c>
      <x:c r="AD56" s="44" t="n">
        <x:f>'Monthly totals'!D28</x:f>
        <x:v>-19.399999999999864</x:v>
      </x:c>
      <x:c r="AE56" s="44" t="n">
        <x:f>MAX(AD56,0)</x:f>
        <x:v>0</x:v>
      </x:c>
      <x:c r="AF56" s="44" t="n">
        <x:f>MIN(AD56,0)</x:f>
        <x:v>-19.399999999999864</x:v>
      </x:c>
      <x:c r="AI56" s="36" t="str">
        <x:f>AA49</x:f>
        <x:v>1925-08</x:v>
      </x:c>
      <x:c r="AJ56" s="68" t="n">
        <x:f>'Monthly totals'!I21</x:f>
        <x:v>78.70838724855899</x:v>
      </x:c>
      <x:c r="AK56" s="68" t="n">
        <x:f>'Monthly totals'!J21</x:f>
        <x:v>80.28054216685618</x:v>
      </x:c>
    </x:row>
    <x:row r="57" ht="16.5" customHeight="1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  <x:c r="K57" s="22"/>
      <x:c r="L57" s="22"/>
      <x:c r="M57" s="22"/>
      <x:c r="N57" s="22"/>
      <x:c r="O57" s="22"/>
      <x:c r="P57" s="22"/>
      <x:c r="Q57" s="22"/>
      <x:c r="R57" s="22"/>
      <x:c r="S57" s="22"/>
      <x:c r="T57" s="22"/>
      <x:c r="U57" s="22"/>
      <x:c r="V57" s="22"/>
      <x:c r="W57" s="22"/>
      <x:c r="AA57" s="46" t="str">
        <x:f>YEAR('Monthly totals'!A29)&amp;"-"&amp;IF(MONTH('Monthly totals'!A29)&lt;10,"0","")&amp;MONTH('Monthly totals'!A29)</x:f>
        <x:v>1926-04</x:v>
      </x:c>
      <x:c r="AB57" s="44" t="n">
        <x:f>'Monthly totals'!B29</x:f>
        <x:v>1331.2</x:v>
      </x:c>
      <x:c r="AC57" s="44" t="n">
        <x:f>'Monthly totals'!C29</x:f>
        <x:v>1170.2</x:v>
      </x:c>
      <x:c r="AD57" s="44" t="n">
        <x:f>'Monthly totals'!D29</x:f>
        <x:v>161</x:v>
      </x:c>
      <x:c r="AE57" s="44" t="n">
        <x:f>MAX(AD57,0)</x:f>
        <x:v>161</x:v>
      </x:c>
      <x:c r="AF57" s="44" t="n">
        <x:f>MIN(AD57,0)</x:f>
        <x:v>0</x:v>
      </x:c>
      <x:c r="AI57" s="36" t="str">
        <x:f>AA50</x:f>
        <x:v>1925-09</x:v>
      </x:c>
      <x:c r="AJ57" s="68" t="n">
        <x:f>'Monthly totals'!I22</x:f>
        <x:v>99.27067403834843</x:v>
      </x:c>
      <x:c r="AK57" s="68" t="n">
        <x:f>'Monthly totals'!J22</x:f>
        <x:v>100.7778303263265</x:v>
      </x:c>
    </x:row>
    <x:row r="58" ht="16.5" customHeight="1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/>
      <x:c r="K58" s="22"/>
      <x:c r="L58" s="22"/>
      <x:c r="M58" s="22"/>
      <x:c r="N58" s="22"/>
      <x:c r="O58" s="22"/>
      <x:c r="P58" s="22"/>
      <x:c r="Q58" s="22"/>
      <x:c r="R58" s="22"/>
      <x:c r="S58" s="22"/>
      <x:c r="T58" s="22"/>
      <x:c r="U58" s="22"/>
      <x:c r="V58" s="22"/>
      <x:c r="W58" s="22"/>
      <x:c r="AA58" s="46" t="str">
        <x:f>YEAR('Monthly totals'!A30)&amp;"-"&amp;IF(MONTH('Monthly totals'!A30)&lt;10,"0","")&amp;MONTH('Monthly totals'!A30)</x:f>
        <x:v>1926-05</x:v>
      </x:c>
      <x:c r="AB58" s="44" t="n">
        <x:f>'Monthly totals'!B30</x:f>
        <x:v>1216</x:v>
      </x:c>
      <x:c r="AC58" s="44" t="n">
        <x:f>'Monthly totals'!C30</x:f>
        <x:v>1078.7</x:v>
      </x:c>
      <x:c r="AD58" s="44" t="n">
        <x:f>'Monthly totals'!D30</x:f>
        <x:v>137.29999999999995</x:v>
      </x:c>
      <x:c r="AE58" s="44" t="n">
        <x:f>MAX(AD58,0)</x:f>
        <x:v>137.29999999999995</x:v>
      </x:c>
      <x:c r="AF58" s="44" t="n">
        <x:f>MIN(AD58,0)</x:f>
        <x:v>0</x:v>
      </x:c>
      <x:c r="AI58" s="36" t="str">
        <x:f>AA51</x:f>
        <x:v>1925-10</x:v>
      </x:c>
      <x:c r="AJ58" s="68" t="n">
        <x:f>'Monthly totals'!I23</x:f>
        <x:v>95.07116809787084</x:v>
      </x:c>
      <x:c r="AK58" s="68" t="n">
        <x:f>'Monthly totals'!J23</x:f>
        <x:v>108.3971462783888</x:v>
      </x:c>
    </x:row>
    <x:row r="59" ht="16.5" customHeight="1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/>
      <x:c r="K59" s="22"/>
      <x:c r="L59" s="22"/>
      <x:c r="M59" s="22"/>
      <x:c r="N59" s="22"/>
      <x:c r="O59" s="22"/>
      <x:c r="P59" s="22"/>
      <x:c r="Q59" s="22"/>
      <x:c r="R59" s="22"/>
      <x:c r="S59" s="22"/>
      <x:c r="T59" s="22"/>
      <x:c r="U59" s="22"/>
      <x:c r="V59" s="22"/>
      <x:c r="W59" s="22"/>
      <x:c r="AA59" s="46" t="str">
        <x:f>YEAR('Monthly totals'!A31)&amp;"-"&amp;IF(MONTH('Monthly totals'!A31)&lt;10,"0","")&amp;MONTH('Monthly totals'!A31)</x:f>
        <x:v>1926-06</x:v>
      </x:c>
      <x:c r="AB59" s="44" t="n">
        <x:f>'Monthly totals'!B31</x:f>
        <x:v>1171.1</x:v>
      </x:c>
      <x:c r="AC59" s="44" t="n">
        <x:f>'Monthly totals'!C31</x:f>
        <x:v>1330.2</x:v>
      </x:c>
      <x:c r="AD59" s="44" t="n">
        <x:f>'Monthly totals'!D31</x:f>
        <x:v>-159.10000000000014</x:v>
      </x:c>
      <x:c r="AE59" s="44" t="n">
        <x:f>MAX(AD59,0)</x:f>
        <x:v>0</x:v>
      </x:c>
      <x:c r="AF59" s="44" t="n">
        <x:f>MIN(AD59,0)</x:f>
        <x:v>-159.10000000000014</x:v>
      </x:c>
      <x:c r="AI59" s="36" t="str">
        <x:f>AA52</x:f>
        <x:v>1925-11</x:v>
      </x:c>
      <x:c r="AJ59" s="68" t="n">
        <x:f>'Monthly totals'!I24</x:f>
        <x:v>106.32278555464063</x:v>
      </x:c>
      <x:c r="AK59" s="68" t="n">
        <x:f>'Monthly totals'!J24</x:f>
        <x:v>110.335181476972</x:v>
      </x:c>
    </x:row>
    <x:row r="60" ht="16.5" customHeight="1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  <x:c r="K60" s="22"/>
      <x:c r="L60" s="22"/>
      <x:c r="M60" s="22"/>
      <x:c r="N60" s="22"/>
      <x:c r="O60" s="22"/>
      <x:c r="P60" s="22"/>
      <x:c r="Q60" s="22"/>
      <x:c r="R60" s="22"/>
      <x:c r="S60" s="22"/>
      <x:c r="T60" s="22"/>
      <x:c r="U60" s="22"/>
      <x:c r="V60" s="22"/>
      <x:c r="W60" s="22"/>
      <x:c r="AA60" s="46" t="str">
        <x:f>YEAR('Monthly totals'!A32)&amp;"-"&amp;IF(MONTH('Monthly totals'!A32)&lt;10,"0","")&amp;MONTH('Monthly totals'!A32)</x:f>
        <x:v>1926-07</x:v>
      </x:c>
      <x:c r="AB60" s="44" t="n">
        <x:f>'Monthly totals'!B32</x:f>
        <x:v>1329.5</x:v>
      </x:c>
      <x:c r="AC60" s="44" t="n">
        <x:f>'Monthly totals'!C32</x:f>
        <x:v>1165.3</x:v>
      </x:c>
      <x:c r="AD60" s="44" t="n">
        <x:f>'Monthly totals'!D32</x:f>
        <x:v>164.20000000000005</x:v>
      </x:c>
      <x:c r="AE60" s="44" t="n">
        <x:f>MAX(AD60,0)</x:f>
        <x:v>164.20000000000005</x:v>
      </x:c>
      <x:c r="AF60" s="44" t="n">
        <x:f>MIN(AD60,0)</x:f>
        <x:v>0</x:v>
      </x:c>
      <x:c r="AI60" s="36" t="str">
        <x:f>AA53</x:f>
        <x:v>1925-12</x:v>
      </x:c>
      <x:c r="AJ60" s="68" t="n">
        <x:f>'Monthly totals'!I25</x:f>
        <x:v>114.68062580872838</x:v>
      </x:c>
      <x:c r="AK60" s="68" t="n">
        <x:f>'Monthly totals'!J25</x:f>
        <x:v>119.47594562231458</x:v>
      </x:c>
    </x:row>
    <x:row r="61" ht="16.5" customHeight="1">
      <x:c r="A61" s="22"/>
      <x:c r="B61" s="22"/>
      <x:c r="C61" s="22"/>
      <x:c r="D61" s="22"/>
      <x:c r="E61" s="22"/>
      <x:c r="F61" s="22"/>
      <x:c r="G61" s="22"/>
      <x:c r="H61" s="22"/>
      <x:c r="I61" s="22"/>
      <x:c r="J61" s="22"/>
      <x:c r="K61" s="22"/>
      <x:c r="L61" s="22"/>
      <x:c r="M61" s="22"/>
      <x:c r="N61" s="22"/>
      <x:c r="O61" s="22"/>
      <x:c r="P61" s="22"/>
      <x:c r="Q61" s="22"/>
      <x:c r="R61" s="22"/>
      <x:c r="S61" s="22"/>
      <x:c r="T61" s="22"/>
      <x:c r="U61" s="22"/>
      <x:c r="V61" s="22"/>
      <x:c r="W61" s="22"/>
      <x:c r="AA61" s="46" t="str">
        <x:f>YEAR('Monthly totals'!A33)&amp;"-"&amp;IF(MONTH('Monthly totals'!A33)&lt;10,"0","")&amp;MONTH('Monthly totals'!A33)</x:f>
        <x:v>1926-08</x:v>
      </x:c>
      <x:c r="AB61" s="44" t="n">
        <x:f>'Monthly totals'!B33</x:f>
        <x:v>1362.8</x:v>
      </x:c>
      <x:c r="AC61" s="44" t="n">
        <x:f>'Monthly totals'!C33</x:f>
        <x:v>919.6</x:v>
      </x:c>
      <x:c r="AD61" s="44" t="n">
        <x:f>'Monthly totals'!D33</x:f>
        <x:v>443.19999999999993</x:v>
      </x:c>
      <x:c r="AE61" s="44" t="n">
        <x:f>MAX(AD61,0)</x:f>
        <x:v>443.19999999999993</x:v>
      </x:c>
      <x:c r="AF61" s="44" t="n">
        <x:f>MIN(AD61,0)</x:f>
        <x:v>0</x:v>
      </x:c>
      <x:c r="AI61" s="36" t="str">
        <x:f>AA54</x:f>
        <x:v>1926-01</x:v>
      </x:c>
      <x:c r="AJ61" s="68" t="n">
        <x:f>'Monthly totals'!I26</x:f>
        <x:v>69.33301964474768</x:v>
      </x:c>
      <x:c r="AK61" s="68" t="n">
        <x:f>'Monthly totals'!J26</x:f>
        <x:v>67.45690739492247</x:v>
      </x:c>
    </x:row>
    <x:row r="62" ht="16.5" customHeight="1">
      <x:c r="A62" s="22"/>
      <x:c r="B62" s="22"/>
      <x:c r="C62" s="22"/>
      <x:c r="D62" s="22"/>
      <x:c r="E62" s="22"/>
      <x:c r="F62" s="22"/>
      <x:c r="G62" s="22"/>
      <x:c r="H62" s="22"/>
      <x:c r="I62" s="22"/>
      <x:c r="J62" s="22"/>
      <x:c r="K62" s="22"/>
      <x:c r="L62" s="22"/>
      <x:c r="M62" s="22"/>
      <x:c r="N62" s="22"/>
      <x:c r="O62" s="22"/>
      <x:c r="P62" s="22"/>
      <x:c r="Q62" s="22"/>
      <x:c r="R62" s="22"/>
      <x:c r="S62" s="22"/>
      <x:c r="T62" s="22"/>
      <x:c r="U62" s="22"/>
      <x:c r="V62" s="22"/>
      <x:c r="W62" s="22"/>
      <x:c r="AA62" s="46" t="str">
        <x:f>YEAR('Monthly totals'!A34)&amp;"-"&amp;IF(MONTH('Monthly totals'!A34)&lt;10,"0","")&amp;MONTH('Monthly totals'!A34)</x:f>
        <x:v>1926-09</x:v>
      </x:c>
      <x:c r="AB62" s="44" t="n">
        <x:f>'Monthly totals'!B34</x:f>
        <x:v>1476.6</x:v>
      </x:c>
      <x:c r="AC62" s="44" t="n">
        <x:f>'Monthly totals'!C34</x:f>
        <x:v>1366.8</x:v>
      </x:c>
      <x:c r="AD62" s="44" t="n">
        <x:f>'Monthly totals'!D34</x:f>
        <x:v>109.79999999999995</x:v>
      </x:c>
      <x:c r="AE62" s="44" t="n">
        <x:f>MAX(AD62,0)</x:f>
        <x:v>109.79999999999995</x:v>
      </x:c>
      <x:c r="AF62" s="44" t="n">
        <x:f>MIN(AD62,0)</x:f>
        <x:v>0</x:v>
      </x:c>
      <x:c r="AI62" s="36" t="str">
        <x:f>AA55</x:f>
        <x:v>1926-02</x:v>
      </x:c>
      <x:c r="AJ62" s="68" t="n">
        <x:f>'Monthly totals'!I27</x:f>
        <x:v>86.76038113163158</x:v>
      </x:c>
      <x:c r="AK62" s="68" t="n">
        <x:f>'Monthly totals'!J27</x:f>
        <x:v>77.28594572293945</x:v>
      </x:c>
    </x:row>
    <x:row r="63" ht="16.5" customHeight="1">
      <x:c r="A63" s="22"/>
      <x:c r="B63" s="22"/>
      <x:c r="C63" s="22"/>
      <x:c r="D63" s="22"/>
      <x:c r="E63" s="22"/>
      <x:c r="F63" s="22"/>
      <x:c r="G63" s="22"/>
      <x:c r="H63" s="22"/>
      <x:c r="I63" s="22"/>
      <x:c r="J63" s="22"/>
      <x:c r="K63" s="22"/>
      <x:c r="L63" s="22"/>
      <x:c r="M63" s="22"/>
      <x:c r="N63" s="22"/>
      <x:c r="O63" s="22"/>
      <x:c r="P63" s="22"/>
      <x:c r="Q63" s="22"/>
      <x:c r="R63" s="22"/>
      <x:c r="S63" s="22"/>
      <x:c r="T63" s="22"/>
      <x:c r="U63" s="22"/>
      <x:c r="V63" s="22"/>
      <x:c r="W63" s="22"/>
      <x:c r="AA63" s="46" t="str">
        <x:f>YEAR('Monthly totals'!A35)&amp;"-"&amp;IF(MONTH('Monthly totals'!A35)&lt;10,"0","")&amp;MONTH('Monthly totals'!A35)</x:f>
        <x:v>1926-10</x:v>
      </x:c>
      <x:c r="AB63" s="44" t="n">
        <x:f>'Monthly totals'!B35</x:f>
        <x:v>1685</x:v>
      </x:c>
      <x:c r="AC63" s="44" t="n">
        <x:f>'Monthly totals'!C35</x:f>
        <x:v>1344.8</x:v>
      </x:c>
      <x:c r="AD63" s="44" t="n">
        <x:f>'Monthly totals'!D35</x:f>
        <x:v>340.20000000000005</x:v>
      </x:c>
      <x:c r="AE63" s="44" t="n">
        <x:f>MAX(AD63,0)</x:f>
        <x:v>340.20000000000005</x:v>
      </x:c>
      <x:c r="AF63" s="44" t="n">
        <x:f>MIN(AD63,0)</x:f>
        <x:v>0</x:v>
      </x:c>
      <x:c r="AI63" s="36" t="str">
        <x:f>AA56</x:f>
        <x:v>1926-03</x:v>
      </x:c>
      <x:c r="AJ63" s="68" t="n">
        <x:f>'Monthly totals'!I28</x:f>
        <x:v>88.92483237266204</x:v>
      </x:c>
      <x:c r="AK63" s="68" t="n">
        <x:f>'Monthly totals'!J28</x:f>
        <x:v>92.45212771309835</x:v>
      </x:c>
    </x:row>
    <x:row r="64" ht="16.5" customHeight="1">
      <x:c r="A64" s="22"/>
      <x:c r="B64" s="22"/>
      <x:c r="C64" s="22"/>
      <x:c r="D64" s="22"/>
      <x:c r="E64" s="22"/>
      <x:c r="F64" s="22"/>
      <x:c r="G64" s="22"/>
      <x:c r="H64" s="22"/>
      <x:c r="I64" s="22"/>
      <x:c r="J64" s="22"/>
      <x:c r="K64" s="22"/>
      <x:c r="L64" s="22"/>
      <x:c r="M64" s="22"/>
      <x:c r="N64" s="22"/>
      <x:c r="O64" s="22"/>
      <x:c r="P64" s="22"/>
      <x:c r="Q64" s="22"/>
      <x:c r="R64" s="22"/>
      <x:c r="S64" s="22"/>
      <x:c r="T64" s="22"/>
      <x:c r="U64" s="22"/>
      <x:c r="V64" s="22"/>
      <x:c r="W64" s="22"/>
      <x:c r="AA64" s="46" t="str">
        <x:f>YEAR('Monthly totals'!A36)&amp;"-"&amp;IF(MONTH('Monthly totals'!A36)&lt;10,"0","")&amp;MONTH('Monthly totals'!A36)</x:f>
        <x:v>1926-11</x:v>
      </x:c>
      <x:c r="AB64" s="44" t="n">
        <x:f>'Monthly totals'!B36</x:f>
        <x:v>2098.3</x:v>
      </x:c>
      <x:c r="AC64" s="44" t="n">
        <x:f>'Monthly totals'!C36</x:f>
        <x:v>1341.3</x:v>
      </x:c>
      <x:c r="AD64" s="44" t="n">
        <x:f>'Monthly totals'!D36</x:f>
        <x:v>757.0000000000002</x:v>
      </x:c>
      <x:c r="AE64" s="44" t="n">
        <x:f>MAX(AD64,0)</x:f>
        <x:v>757.0000000000002</x:v>
      </x:c>
      <x:c r="AF64" s="44" t="n">
        <x:f>MIN(AD64,0)</x:f>
        <x:v>0</x:v>
      </x:c>
      <x:c r="AI64" s="36" t="str">
        <x:f>AA57</x:f>
        <x:v>1926-04</x:v>
      </x:c>
      <x:c r="AJ64" s="68" t="n">
        <x:f>'Monthly totals'!I29</x:f>
        <x:v>78.29667097988472</x:v>
      </x:c>
      <x:c r="AK64" s="68" t="n">
        <x:f>'Monthly totals'!J29</x:f>
        <x:v>70.65074110224495</x:v>
      </x:c>
    </x:row>
    <x:row r="65" ht="16.5" customHeight="1">
      <x:c r="A65" s="22"/>
      <x:c r="B65" s="22"/>
      <x:c r="C65" s="22"/>
      <x:c r="D65" s="22"/>
      <x:c r="E65" s="22"/>
      <x:c r="F65" s="22"/>
      <x:c r="G65" s="22"/>
      <x:c r="H65" s="22"/>
      <x:c r="I65" s="22"/>
      <x:c r="J65" s="22"/>
      <x:c r="K65" s="22"/>
      <x:c r="L65" s="22"/>
      <x:c r="M65" s="22"/>
      <x:c r="N65" s="22"/>
      <x:c r="O65" s="22"/>
      <x:c r="P65" s="22"/>
      <x:c r="Q65" s="22"/>
      <x:c r="R65" s="22"/>
      <x:c r="S65" s="22"/>
      <x:c r="T65" s="22"/>
      <x:c r="U65" s="22"/>
      <x:c r="V65" s="22"/>
      <x:c r="W65" s="22"/>
      <x:c r="AA65" s="46" t="str">
        <x:f>YEAR('Monthly totals'!A37)&amp;"-"&amp;IF(MONTH('Monthly totals'!A37)&lt;10,"0","")&amp;MONTH('Monthly totals'!A37)</x:f>
        <x:v>1926-12</x:v>
      </x:c>
      <x:c r="AB65" s="44" t="n">
        <x:f>'Monthly totals'!B37</x:f>
        <x:v>1905.5</x:v>
      </x:c>
      <x:c r="AC65" s="44" t="n">
        <x:f>'Monthly totals'!C37</x:f>
        <x:v>1612.3</x:v>
      </x:c>
      <x:c r="AD65" s="44" t="n">
        <x:f>'Monthly totals'!D37</x:f>
        <x:v>293.20000000000005</x:v>
      </x:c>
      <x:c r="AE65" s="44" t="n">
        <x:f>MAX(AD65,0)</x:f>
        <x:v>293.20000000000005</x:v>
      </x:c>
      <x:c r="AF65" s="44" t="n">
        <x:f>MIN(AD65,0)</x:f>
        <x:v>0</x:v>
      </x:c>
      <x:c r="AI65" s="36" t="str">
        <x:f>AA58</x:f>
        <x:v>1926-05</x:v>
      </x:c>
      <x:c r="AJ65" s="68" t="n">
        <x:f>'Monthly totals'!I30</x:f>
        <x:v>71.52099752970238</x:v>
      </x:c>
      <x:c r="AK65" s="68" t="n">
        <x:f>'Monthly totals'!J30</x:f>
        <x:v>65.12643516235825</x:v>
      </x:c>
    </x:row>
    <x:row r="66" ht="16.5" customHeight="1">
      <x:c r="A66" s="22"/>
      <x:c r="B66" s="22"/>
      <x:c r="C66" s="22"/>
      <x:c r="D66" s="22"/>
      <x:c r="E66" s="22"/>
      <x:c r="F66" s="22"/>
      <x:c r="G66" s="22"/>
      <x:c r="H66" s="22"/>
      <x:c r="I66" s="22"/>
      <x:c r="J66" s="22"/>
      <x:c r="K66" s="22"/>
      <x:c r="L66" s="22"/>
      <x:c r="M66" s="22"/>
      <x:c r="N66" s="22"/>
      <x:c r="O66" s="22"/>
      <x:c r="P66" s="22"/>
      <x:c r="Q66" s="22"/>
      <x:c r="R66" s="22"/>
      <x:c r="S66" s="22"/>
      <x:c r="T66" s="22"/>
      <x:c r="U66" s="22"/>
      <x:c r="V66" s="22"/>
      <x:c r="W66" s="22"/>
      <x:c r="AA66" s="46" t="str">
        <x:f>YEAR('Monthly totals'!A38)&amp;"-"&amp;IF(MONTH('Monthly totals'!A38)&lt;10,"0","")&amp;MONTH('Monthly totals'!A38)</x:f>
        <x:v>1927-01</x:v>
      </x:c>
      <x:c r="AB66" s="44" t="n">
        <x:f>'Monthly totals'!B38</x:f>
        <x:v>1284.1</x:v>
      </x:c>
      <x:c r="AC66" s="44" t="n">
        <x:f>'Monthly totals'!C38</x:f>
        <x:v>887.41</x:v>
      </x:c>
      <x:c r="AD66" s="44" t="n">
        <x:f>'Monthly totals'!D38</x:f>
        <x:v>396.68999999999994</x:v>
      </x:c>
      <x:c r="AE66" s="44" t="n">
        <x:f>MAX(AD66,0)</x:f>
        <x:v>396.68999999999994</x:v>
      </x:c>
      <x:c r="AF66" s="44" t="n">
        <x:f>MIN(AD66,0)</x:f>
        <x:v>0</x:v>
      </x:c>
      <x:c r="AI66" s="36" t="str">
        <x:f>AA59</x:f>
        <x:v>1926-06</x:v>
      </x:c>
      <x:c r="AJ66" s="68" t="n">
        <x:f>'Monthly totals'!I31</x:f>
        <x:v>68.88013174920597</x:v>
      </x:c>
      <x:c r="AK66" s="68" t="n">
        <x:f>'Monthly totals'!J31</x:f>
        <x:v>80.31072963100857</x:v>
      </x:c>
    </x:row>
    <x:row r="67" ht="16.5" customHeight="1">
      <x:c r="A67" s="22"/>
      <x:c r="B67" s="22"/>
      <x:c r="C67" s="22"/>
      <x:c r="D67" s="22"/>
      <x:c r="E67" s="22"/>
      <x:c r="F67" s="22"/>
      <x:c r="G67" s="22"/>
      <x:c r="H67" s="22"/>
      <x:c r="I67" s="22"/>
      <x:c r="J67" s="22"/>
      <x:c r="K67" s="22"/>
      <x:c r="L67" s="22"/>
      <x:c r="M67" s="22"/>
      <x:c r="N67" s="22"/>
      <x:c r="O67" s="22"/>
      <x:c r="P67" s="22"/>
      <x:c r="Q67" s="22"/>
      <x:c r="R67" s="22"/>
      <x:c r="S67" s="22"/>
      <x:c r="T67" s="22"/>
      <x:c r="U67" s="22"/>
      <x:c r="V67" s="22"/>
      <x:c r="W67" s="22"/>
      <x:c r="AA67" s="46" t="str">
        <x:f>YEAR('Monthly totals'!A39)&amp;"-"&amp;IF(MONTH('Monthly totals'!A39)&lt;10,"0","")&amp;MONTH('Monthly totals'!A39)</x:f>
        <x:v>1927-02</x:v>
      </x:c>
      <x:c r="AB67" s="44" t="n">
        <x:f>'Monthly totals'!B39</x:f>
        <x:v>1421.7</x:v>
      </x:c>
      <x:c r="AC67" s="44" t="n">
        <x:f>'Monthly totals'!C39</x:f>
        <x:v>1191.7</x:v>
      </x:c>
      <x:c r="AD67" s="44" t="n">
        <x:f>'Monthly totals'!D39</x:f>
        <x:v>230</x:v>
      </x:c>
      <x:c r="AE67" s="44" t="n">
        <x:f>MAX(AD67,0)</x:f>
        <x:v>230</x:v>
      </x:c>
      <x:c r="AF67" s="44" t="n">
        <x:f>MIN(AD67,0)</x:f>
        <x:v>0</x:v>
      </x:c>
      <x:c r="AI67" s="36" t="str">
        <x:f>AA60</x:f>
        <x:v>1926-07</x:v>
      </x:c>
      <x:c r="AJ67" s="68" t="n">
        <x:f>'Monthly totals'!I32</x:f>
        <x:v>78.19668274320668</x:v>
      </x:c>
      <x:c r="AK67" s="68" t="n">
        <x:f>'Monthly totals'!J32</x:f>
        <x:v>70.35490395355156</x:v>
      </x:c>
    </x:row>
    <x:row r="68" ht="16.5" customHeight="1">
      <x:c r="A68" s="22"/>
      <x:c r="B68" s="22"/>
      <x:c r="C68" s="22"/>
      <x:c r="D68" s="22"/>
      <x:c r="E68" s="22"/>
      <x:c r="F68" s="22"/>
      <x:c r="G68" s="22"/>
      <x:c r="H68" s="22"/>
      <x:c r="I68" s="22"/>
      <x:c r="J68" s="22"/>
      <x:c r="K68" s="22"/>
      <x:c r="L68" s="22"/>
      <x:c r="M68" s="22"/>
      <x:c r="N68" s="22"/>
      <x:c r="O68" s="22"/>
      <x:c r="P68" s="22"/>
      <x:c r="Q68" s="22"/>
      <x:c r="R68" s="22"/>
      <x:c r="S68" s="22"/>
      <x:c r="T68" s="22"/>
      <x:c r="U68" s="22"/>
      <x:c r="V68" s="22"/>
      <x:c r="W68" s="22"/>
      <x:c r="AA68" s="46" t="str">
        <x:f>YEAR('Monthly totals'!A40)&amp;"-"&amp;IF(MONTH('Monthly totals'!A40)&lt;10,"0","")&amp;MONTH('Monthly totals'!A40)</x:f>
        <x:v>1927-03</x:v>
      </x:c>
      <x:c r="AB68" s="44" t="n">
        <x:f>'Monthly totals'!B40</x:f>
        <x:v>1528.7</x:v>
      </x:c>
      <x:c r="AC68" s="44" t="n">
        <x:f>'Monthly totals'!C40</x:f>
        <x:v>1306.7</x:v>
      </x:c>
      <x:c r="AD68" s="44" t="n">
        <x:f>'Monthly totals'!D40</x:f>
        <x:v>222</x:v>
      </x:c>
      <x:c r="AE68" s="44" t="n">
        <x:f>MAX(AD68,0)</x:f>
        <x:v>222</x:v>
      </x:c>
      <x:c r="AF68" s="44" t="n">
        <x:f>MIN(AD68,0)</x:f>
        <x:v>0</x:v>
      </x:c>
      <x:c r="AI68" s="36" t="str">
        <x:f>AA61</x:f>
        <x:v>1926-08</x:v>
      </x:c>
      <x:c r="AJ68" s="68" t="n">
        <x:f>'Monthly totals'!I33</x:f>
        <x:v>80.15527584990001</x:v>
      </x:c>
      <x:c r="AK68" s="68" t="n">
        <x:f>'Monthly totals'!J33</x:f>
        <x:v>55.52078406906892</x:v>
      </x:c>
    </x:row>
    <x:row r="69" ht="16.5" customHeight="1">
      <x:c r="A69" s="22"/>
      <x:c r="B69" s="22"/>
      <x:c r="C69" s="22"/>
      <x:c r="D69" s="22"/>
      <x:c r="E69" s="22"/>
      <x:c r="F69" s="22"/>
      <x:c r="G69" s="22"/>
      <x:c r="H69" s="22"/>
      <x:c r="I69" s="22"/>
      <x:c r="J69" s="22"/>
      <x:c r="K69" s="22"/>
      <x:c r="L69" s="22"/>
      <x:c r="M69" s="22"/>
      <x:c r="N69" s="22"/>
      <x:c r="O69" s="22"/>
      <x:c r="P69" s="22"/>
      <x:c r="Q69" s="22"/>
      <x:c r="R69" s="22"/>
      <x:c r="S69" s="22"/>
      <x:c r="T69" s="22"/>
      <x:c r="U69" s="22"/>
      <x:c r="V69" s="22"/>
      <x:c r="W69" s="22"/>
      <x:c r="AA69" s="46" t="str">
        <x:f>YEAR('Monthly totals'!A41)&amp;"-"&amp;IF(MONTH('Monthly totals'!A41)&lt;10,"0","")&amp;MONTH('Monthly totals'!A41)</x:f>
        <x:v>1927-04</x:v>
      </x:c>
      <x:c r="AB69" s="44" t="n">
        <x:f>'Monthly totals'!B41</x:f>
        <x:v>1534.8</x:v>
      </x:c>
      <x:c r="AC69" s="44" t="n">
        <x:f>'Monthly totals'!C41</x:f>
        <x:v>1261.9</x:v>
      </x:c>
      <x:c r="AD69" s="44" t="n">
        <x:f>'Monthly totals'!D41</x:f>
        <x:v>272.89999999999986</x:v>
      </x:c>
      <x:c r="AE69" s="44" t="n">
        <x:f>MAX(AD69,0)</x:f>
        <x:v>272.89999999999986</x:v>
      </x:c>
      <x:c r="AF69" s="44" t="n">
        <x:f>MIN(AD69,0)</x:f>
        <x:v>0</x:v>
      </x:c>
      <x:c r="AI69" s="36" t="str">
        <x:f>AA62</x:f>
        <x:v>1926-09</x:v>
      </x:c>
      <x:c r="AJ69" s="68" t="n">
        <x:f>'Monthly totals'!I34</x:f>
        <x:v>86.84860604634748</x:v>
      </x:c>
      <x:c r="AK69" s="68" t="n">
        <x:f>'Monthly totals'!J34</x:f>
        <x:v>82.52045200696324</x:v>
      </x:c>
    </x:row>
    <x:row r="70" ht="16.5" customHeight="1">
      <x:c r="A70" s="22"/>
      <x:c r="B70" s="22"/>
      <x:c r="C70" s="22"/>
      <x:c r="D70" s="22"/>
      <x:c r="E70" s="22"/>
      <x:c r="F70" s="22"/>
      <x:c r="G70" s="22"/>
      <x:c r="H70" s="22"/>
      <x:c r="I70" s="22"/>
      <x:c r="J70" s="22"/>
      <x:c r="K70" s="22"/>
      <x:c r="L70" s="22"/>
      <x:c r="M70" s="22"/>
      <x:c r="N70" s="22"/>
      <x:c r="O70" s="22"/>
      <x:c r="P70" s="22"/>
      <x:c r="Q70" s="22"/>
      <x:c r="R70" s="22"/>
      <x:c r="S70" s="22"/>
      <x:c r="T70" s="22"/>
      <x:c r="U70" s="22"/>
      <x:c r="V70" s="22"/>
      <x:c r="W70" s="22"/>
      <x:c r="AA70" s="46" t="str">
        <x:f>YEAR('Monthly totals'!A42)&amp;"-"&amp;IF(MONTH('Monthly totals'!A42)&lt;10,"0","")&amp;MONTH('Monthly totals'!A42)</x:f>
        <x:v>1927-05</x:v>
      </x:c>
      <x:c r="AB70" s="44" t="n">
        <x:f>'Monthly totals'!B42</x:f>
        <x:v>1513.5</x:v>
      </x:c>
      <x:c r="AC70" s="44" t="n">
        <x:f>'Monthly totals'!C42</x:f>
        <x:v>1362.6</x:v>
      </x:c>
      <x:c r="AD70" s="44" t="n">
        <x:f>'Monthly totals'!D42</x:f>
        <x:v>150.9000000000001</x:v>
      </x:c>
      <x:c r="AE70" s="44" t="n">
        <x:f>MAX(AD70,0)</x:f>
        <x:v>150.9000000000001</x:v>
      </x:c>
      <x:c r="AF70" s="44" t="n">
        <x:f>MIN(AD70,0)</x:f>
        <x:v>0</x:v>
      </x:c>
      <x:c r="AI70" s="36" t="str">
        <x:f>AA63</x:f>
        <x:v>1926-10</x:v>
      </x:c>
      <x:c r="AJ70" s="68" t="n">
        <x:f>'Monthly totals'!I35</x:f>
        <x:v>99.10598753087872</x:v>
      </x:c>
      <x:c r="AK70" s="68" t="n">
        <x:f>'Monthly totals'!J35</x:f>
        <x:v>81.19220358425825</x:v>
      </x:c>
    </x:row>
    <x:row r="71" ht="16.5" customHeight="1">
      <x:c r="A71" s="22"/>
      <x:c r="B71" s="22"/>
      <x:c r="C71" s="22"/>
      <x:c r="D71" s="22"/>
      <x:c r="E71" s="22"/>
      <x:c r="F71" s="22"/>
      <x:c r="G71" s="22"/>
      <x:c r="H71" s="22"/>
      <x:c r="I71" s="22"/>
      <x:c r="J71" s="22"/>
      <x:c r="K71" s="22"/>
      <x:c r="L71" s="22"/>
      <x:c r="M71" s="22"/>
      <x:c r="N71" s="22"/>
      <x:c r="O71" s="22"/>
      <x:c r="P71" s="22"/>
      <x:c r="Q71" s="22"/>
      <x:c r="R71" s="22"/>
      <x:c r="S71" s="22"/>
      <x:c r="T71" s="22"/>
      <x:c r="U71" s="22"/>
      <x:c r="V71" s="22"/>
      <x:c r="W71" s="22"/>
      <x:c r="AA71" s="46" t="str">
        <x:f>YEAR('Monthly totals'!A43)&amp;"-"&amp;IF(MONTH('Monthly totals'!A43)&lt;10,"0","")&amp;MONTH('Monthly totals'!A43)</x:f>
        <x:v>1927-06</x:v>
      </x:c>
      <x:c r="AB71" s="44" t="n">
        <x:f>'Monthly totals'!B43</x:f>
        <x:v>1495.3</x:v>
      </x:c>
      <x:c r="AC71" s="44" t="n">
        <x:f>'Monthly totals'!C43</x:f>
        <x:v>1525.1</x:v>
      </x:c>
      <x:c r="AD71" s="44" t="n">
        <x:f>'Monthly totals'!D43</x:f>
        <x:v>-29.799999999999955</x:v>
      </x:c>
      <x:c r="AE71" s="44" t="n">
        <x:f>MAX(AD71,0)</x:f>
        <x:v>0</x:v>
      </x:c>
      <x:c r="AF71" s="44" t="n">
        <x:f>MIN(AD71,0)</x:f>
        <x:v>-29.799999999999955</x:v>
      </x:c>
      <x:c r="AI71" s="36" t="str">
        <x:f>AA64</x:f>
        <x:v>1926-11</x:v>
      </x:c>
      <x:c r="AJ71" s="68" t="n">
        <x:f>'Monthly totals'!I36</x:f>
        <x:v>123.41489236560406</x:v>
      </x:c>
      <x:c r="AK71" s="68" t="n">
        <x:f>'Monthly totals'!J36</x:f>
        <x:v>80.98089133519154</x:v>
      </x:c>
    </x:row>
    <x:row r="72" ht="16.5" customHeight="1">
      <x:c r="A72" s="22"/>
      <x:c r="B72" s="22"/>
      <x:c r="C72" s="22"/>
      <x:c r="D72" s="22"/>
      <x:c r="E72" s="22"/>
      <x:c r="F72" s="22"/>
      <x:c r="G72" s="22"/>
      <x:c r="H72" s="22"/>
      <x:c r="I72" s="22"/>
      <x:c r="J72" s="22"/>
      <x:c r="K72" s="22"/>
      <x:c r="L72" s="22"/>
      <x:c r="M72" s="22"/>
      <x:c r="N72" s="22"/>
      <x:c r="O72" s="22"/>
      <x:c r="P72" s="22"/>
      <x:c r="Q72" s="22"/>
      <x:c r="R72" s="22"/>
      <x:c r="S72" s="22"/>
      <x:c r="T72" s="22"/>
      <x:c r="U72" s="22"/>
      <x:c r="V72" s="22"/>
      <x:c r="W72" s="22"/>
      <x:c r="AA72" s="46" t="str">
        <x:f>YEAR('Monthly totals'!A44)&amp;"-"&amp;IF(MONTH('Monthly totals'!A44)&lt;10,"0","")&amp;MONTH('Monthly totals'!A44)</x:f>
        <x:v>1927-07</x:v>
      </x:c>
      <x:c r="AB72" s="44" t="n">
        <x:f>'Monthly totals'!B44</x:f>
        <x:v>1397.3</x:v>
      </x:c>
      <x:c r="AC72" s="44" t="n">
        <x:f>'Monthly totals'!C44</x:f>
        <x:v>1326.2</x:v>
      </x:c>
      <x:c r="AD72" s="44" t="n">
        <x:f>'Monthly totals'!D44</x:f>
        <x:v>71.09999999999991</x:v>
      </x:c>
      <x:c r="AE72" s="44" t="n">
        <x:f>MAX(AD72,0)</x:f>
        <x:v>71.09999999999991</x:v>
      </x:c>
      <x:c r="AF72" s="44" t="n">
        <x:f>MIN(AD72,0)</x:f>
        <x:v>0</x:v>
      </x:c>
      <x:c r="AI72" s="36" t="str">
        <x:f>AA65</x:f>
        <x:v>1926-12</x:v>
      </x:c>
      <x:c r="AJ72" s="68" t="n">
        <x:f>'Monthly totals'!I37</x:f>
        <x:v>112.07504999411833</x:v>
      </x:c>
      <x:c r="AK72" s="68" t="n">
        <x:f>'Monthly totals'!J37</x:f>
        <x:v>97.34249690578493</x:v>
      </x:c>
    </x:row>
    <x:row r="73" ht="16.5" customHeight="1">
      <x:c r="A73" s="22"/>
      <x:c r="B73" s="22"/>
      <x:c r="C73" s="22"/>
      <x:c r="D73" s="22"/>
      <x:c r="E73" s="22"/>
      <x:c r="F73" s="22"/>
      <x:c r="G73" s="22"/>
      <x:c r="H73" s="22"/>
      <x:c r="I73" s="22"/>
      <x:c r="J73" s="22"/>
      <x:c r="K73" s="22"/>
      <x:c r="L73" s="22"/>
      <x:c r="M73" s="22"/>
      <x:c r="N73" s="22"/>
      <x:c r="O73" s="22"/>
      <x:c r="P73" s="22"/>
      <x:c r="Q73" s="22"/>
      <x:c r="R73" s="22"/>
      <x:c r="S73" s="22"/>
      <x:c r="T73" s="22"/>
      <x:c r="U73" s="22"/>
      <x:c r="V73" s="22"/>
      <x:c r="W73" s="22"/>
      <x:c r="AA73" s="46" t="str">
        <x:f>YEAR('Monthly totals'!A45)&amp;"-"&amp;IF(MONTH('Monthly totals'!A45)&lt;10,"0","")&amp;MONTH('Monthly totals'!A45)</x:f>
        <x:v>1927-08</x:v>
      </x:c>
      <x:c r="AB73" s="44" t="n">
        <x:f>'Monthly totals'!B45</x:f>
        <x:v>1572.1</x:v>
      </x:c>
      <x:c r="AC73" s="44" t="n">
        <x:f>'Monthly totals'!C45</x:f>
        <x:v>1576</x:v>
      </x:c>
      <x:c r="AD73" s="44" t="n">
        <x:f>'Monthly totals'!D45</x:f>
        <x:v>-3.900000000000091</x:v>
      </x:c>
      <x:c r="AE73" s="44" t="n">
        <x:f>MAX(AD73,0)</x:f>
        <x:v>0</x:v>
      </x:c>
      <x:c r="AF73" s="44" t="n">
        <x:f>MIN(AD73,0)</x:f>
        <x:v>-3.900000000000091</x:v>
      </x:c>
      <x:c r="AI73" s="36" t="str">
        <x:f>AA66</x:f>
        <x:v>1927-01</x:v>
      </x:c>
      <x:c r="AJ73" s="68" t="n">
        <x:f>'Monthly totals'!I38</x:f>
        <x:v>75.52640865780495</x:v>
      </x:c>
      <x:c r="AK73" s="68" t="n">
        <x:f>'Monthly totals'!J38</x:f>
        <x:v>53.57731512693829</x:v>
      </x:c>
    </x:row>
    <x:row r="74" ht="16.5" customHeight="1">
      <x:c r="A74" s="22"/>
      <x:c r="B74" s="22"/>
      <x:c r="C74" s="22"/>
      <x:c r="D74" s="22"/>
      <x:c r="E74" s="22"/>
      <x:c r="F74" s="22"/>
      <x:c r="G74" s="22"/>
      <x:c r="H74" s="22"/>
      <x:c r="I74" s="22"/>
      <x:c r="J74" s="22"/>
      <x:c r="K74" s="22"/>
      <x:c r="L74" s="22"/>
      <x:c r="M74" s="22"/>
      <x:c r="N74" s="22"/>
      <x:c r="O74" s="22"/>
      <x:c r="P74" s="22"/>
      <x:c r="Q74" s="22"/>
      <x:c r="R74" s="22"/>
      <x:c r="S74" s="22"/>
      <x:c r="T74" s="22"/>
      <x:c r="U74" s="22"/>
      <x:c r="V74" s="22"/>
      <x:c r="W74" s="22"/>
      <x:c r="AA74" s="46" t="str">
        <x:f>YEAR('Monthly totals'!A46)&amp;"-"&amp;IF(MONTH('Monthly totals'!A46)&lt;10,"0","")&amp;MONTH('Monthly totals'!A46)</x:f>
        <x:v>1927-09</x:v>
      </x:c>
      <x:c r="AB74" s="44" t="n">
        <x:f>'Monthly totals'!B46</x:f>
        <x:v>1921</x:v>
      </x:c>
      <x:c r="AC74" s="44" t="n">
        <x:f>'Monthly totals'!C46</x:f>
        <x:v>1501.9</x:v>
      </x:c>
      <x:c r="AD74" s="44" t="n">
        <x:f>'Monthly totals'!D46</x:f>
        <x:v>419.0999999999999</x:v>
      </x:c>
      <x:c r="AE74" s="44" t="n">
        <x:f>MAX(AD74,0)</x:f>
        <x:v>419.0999999999999</x:v>
      </x:c>
      <x:c r="AF74" s="44" t="n">
        <x:f>MIN(AD74,0)</x:f>
        <x:v>0</x:v>
      </x:c>
      <x:c r="AI74" s="36" t="str">
        <x:f>AA67</x:f>
        <x:v>1927-02</x:v>
      </x:c>
      <x:c r="AJ74" s="68" t="n">
        <x:f>'Monthly totals'!I39</x:f>
        <x:v>83.61957416774497</x:v>
      </x:c>
      <x:c r="AK74" s="68" t="n">
        <x:f>'Monthly totals'!J39</x:f>
        <x:v>71.94880206079756</x:v>
      </x:c>
    </x:row>
    <x:row r="75" ht="16.5" customHeight="1">
      <x:c r="A75" s="22"/>
      <x:c r="B75" s="22"/>
      <x:c r="C75" s="22"/>
      <x:c r="D75" s="22"/>
      <x:c r="E75" s="22"/>
      <x:c r="F75" s="22"/>
      <x:c r="G75" s="22"/>
      <x:c r="H75" s="22"/>
      <x:c r="I75" s="22"/>
      <x:c r="J75" s="22"/>
      <x:c r="K75" s="22"/>
      <x:c r="L75" s="22"/>
      <x:c r="M75" s="22"/>
      <x:c r="N75" s="22"/>
      <x:c r="O75" s="22"/>
      <x:c r="P75" s="22"/>
      <x:c r="Q75" s="22"/>
      <x:c r="R75" s="22"/>
      <x:c r="S75" s="22"/>
      <x:c r="T75" s="22"/>
      <x:c r="U75" s="22"/>
      <x:c r="V75" s="22"/>
      <x:c r="W75" s="22"/>
      <x:c r="AA75" s="46" t="str">
        <x:f>YEAR('Monthly totals'!A47)&amp;"-"&amp;IF(MONTH('Monthly totals'!A47)&lt;10,"0","")&amp;MONTH('Monthly totals'!A47)</x:f>
        <x:v>1927-10</x:v>
      </x:c>
      <x:c r="AB75" s="44" t="n">
        <x:f>'Monthly totals'!B47</x:f>
        <x:v>2004.3</x:v>
      </x:c>
      <x:c r="AC75" s="44" t="n">
        <x:f>'Monthly totals'!C47</x:f>
        <x:v>1851.5</x:v>
      </x:c>
      <x:c r="AD75" s="44" t="n">
        <x:f>'Monthly totals'!D47</x:f>
        <x:v>152.79999999999995</x:v>
      </x:c>
      <x:c r="AE75" s="44" t="n">
        <x:f>MAX(AD75,0)</x:f>
        <x:v>152.79999999999995</x:v>
      </x:c>
      <x:c r="AF75" s="44" t="n">
        <x:f>MIN(AD75,0)</x:f>
        <x:v>0</x:v>
      </x:c>
      <x:c r="AI75" s="36" t="str">
        <x:f>AA68</x:f>
        <x:v>1927-03</x:v>
      </x:c>
      <x:c r="AJ75" s="68" t="n">
        <x:f>'Monthly totals'!I40</x:f>
        <x:v>89.9129514174803</x:v>
      </x:c>
      <x:c r="AK75" s="68" t="n">
        <x:f>'Monthly totals'!J40</x:f>
        <x:v>78.89191881584641</x:v>
      </x:c>
    </x:row>
    <x:row r="76" ht="16.5" customHeight="1">
      <x:c r="A76" s="22"/>
      <x:c r="B76" s="22"/>
      <x:c r="C76" s="22"/>
      <x:c r="D76" s="22"/>
      <x:c r="E76" s="22"/>
      <x:c r="F76" s="22"/>
      <x:c r="G76" s="22"/>
      <x:c r="H76" s="22"/>
      <x:c r="I76" s="22"/>
      <x:c r="J76" s="22"/>
      <x:c r="K76" s="22"/>
      <x:c r="L76" s="22"/>
      <x:c r="M76" s="22"/>
      <x:c r="N76" s="22"/>
      <x:c r="O76" s="22"/>
      <x:c r="P76" s="22"/>
      <x:c r="Q76" s="22"/>
      <x:c r="R76" s="22"/>
      <x:c r="S76" s="22"/>
      <x:c r="T76" s="22"/>
      <x:c r="U76" s="22"/>
      <x:c r="V76" s="22"/>
      <x:c r="W76" s="22"/>
      <x:c r="AA76" s="46" t="str">
        <x:f>YEAR('Monthly totals'!A48)&amp;"-"&amp;IF(MONTH('Monthly totals'!A48)&lt;10,"0","")&amp;MONTH('Monthly totals'!A48)</x:f>
        <x:v>1927-11</x:v>
      </x:c>
      <x:c r="AB76" s="44" t="n">
        <x:f>'Monthly totals'!B48</x:f>
        <x:v>2096.7</x:v>
      </x:c>
      <x:c r="AC76" s="44" t="n">
        <x:f>'Monthly totals'!C48</x:f>
        <x:v>1746.2</x:v>
      </x:c>
      <x:c r="AD76" s="44" t="n">
        <x:f>'Monthly totals'!D48</x:f>
        <x:v>350.4999999999998</x:v>
      </x:c>
      <x:c r="AE76" s="44" t="n">
        <x:f>MAX(AD76,0)</x:f>
        <x:v>350.4999999999998</x:v>
      </x:c>
      <x:c r="AF76" s="44" t="n">
        <x:f>MIN(AD76,0)</x:f>
        <x:v>0</x:v>
      </x:c>
      <x:c r="AI76" s="36" t="str">
        <x:f>AA69</x:f>
        <x:v>1927-04</x:v>
      </x:c>
      <x:c r="AJ76" s="68" t="n">
        <x:f>'Monthly totals'!I41</x:f>
        <x:v>90.27173273732502</x:v>
      </x:c>
      <x:c r="AK76" s="68" t="n">
        <x:f>'Monthly totals'!J41</x:f>
        <x:v>76.1871220277926</x:v>
      </x:c>
    </x:row>
    <x:row r="77" ht="16.5" customHeight="1">
      <x:c r="A77" s="22"/>
      <x:c r="B77" s="22"/>
      <x:c r="C77" s="22"/>
      <x:c r="D77" s="22"/>
      <x:c r="E77" s="22"/>
      <x:c r="F77" s="22"/>
      <x:c r="G77" s="22"/>
      <x:c r="H77" s="22"/>
      <x:c r="I77" s="22"/>
      <x:c r="J77" s="22"/>
      <x:c r="K77" s="22"/>
      <x:c r="L77" s="22"/>
      <x:c r="M77" s="22"/>
      <x:c r="N77" s="22"/>
      <x:c r="O77" s="22"/>
      <x:c r="P77" s="22"/>
      <x:c r="Q77" s="22"/>
      <x:c r="R77" s="22"/>
      <x:c r="S77" s="22"/>
      <x:c r="T77" s="22"/>
      <x:c r="U77" s="22"/>
      <x:c r="V77" s="22"/>
      <x:c r="W77" s="22"/>
      <x:c r="AA77" s="46" t="str">
        <x:f>YEAR('Monthly totals'!A49)&amp;"-"&amp;IF(MONTH('Monthly totals'!A49)&lt;10,"0","")&amp;MONTH('Monthly totals'!A49)</x:f>
        <x:v>1927-12</x:v>
      </x:c>
      <x:c r="AB77" s="44" t="n">
        <x:f>'Monthly totals'!B49</x:f>
        <x:v>2344</x:v>
      </x:c>
      <x:c r="AC77" s="44" t="n">
        <x:f>'Monthly totals'!C49</x:f>
        <x:v>2385.7</x:v>
      </x:c>
      <x:c r="AD77" s="44" t="n">
        <x:f>'Monthly totals'!D49</x:f>
        <x:v>-41.69999999999982</x:v>
      </x:c>
      <x:c r="AE77" s="44" t="n">
        <x:f>MAX(AD77,0)</x:f>
        <x:v>0</x:v>
      </x:c>
      <x:c r="AF77" s="44" t="n">
        <x:f>MIN(AD77,0)</x:f>
        <x:v>-41.69999999999982</x:v>
      </x:c>
      <x:c r="AI77" s="36" t="str">
        <x:f>AA70</x:f>
        <x:v>1927-05</x:v>
      </x:c>
      <x:c r="AJ77" s="68" t="n">
        <x:f>'Monthly totals'!I42</x:f>
        <x:v>89.01893894835901</x:v>
      </x:c>
      <x:c r="AK77" s="68" t="n">
        <x:f>'Monthly totals'!J42</x:f>
        <x:v>82.2668773080832</x:v>
      </x:c>
    </x:row>
    <x:row r="78" ht="16.5" customHeight="1">
      <x:c r="A78" s="22"/>
      <x:c r="B78" s="22"/>
      <x:c r="C78" s="22"/>
      <x:c r="D78" s="22"/>
      <x:c r="E78" s="22"/>
      <x:c r="F78" s="22"/>
      <x:c r="G78" s="22"/>
      <x:c r="H78" s="22"/>
      <x:c r="I78" s="22"/>
      <x:c r="J78" s="22"/>
      <x:c r="K78" s="22"/>
      <x:c r="L78" s="22"/>
      <x:c r="M78" s="22"/>
      <x:c r="N78" s="22"/>
      <x:c r="O78" s="22"/>
      <x:c r="P78" s="22"/>
      <x:c r="Q78" s="22"/>
      <x:c r="R78" s="22"/>
      <x:c r="S78" s="22"/>
      <x:c r="T78" s="22"/>
      <x:c r="U78" s="22"/>
      <x:c r="V78" s="22"/>
      <x:c r="W78" s="22"/>
      <x:c r="AA78" s="46" t="str">
        <x:f>YEAR('Monthly totals'!A50)&amp;"-"&amp;IF(MONTH('Monthly totals'!A50)&lt;10,"0","")&amp;MONTH('Monthly totals'!A50)</x:f>
        <x:v>1928-01</x:v>
      </x:c>
      <x:c r="AB78" s="44" t="n">
        <x:f>'Monthly totals'!B50</x:f>
        <x:v>1547</x:v>
      </x:c>
      <x:c r="AC78" s="44" t="n">
        <x:f>'Monthly totals'!C50</x:f>
        <x:v>1314.1</x:v>
      </x:c>
      <x:c r="AD78" s="44" t="n">
        <x:f>'Monthly totals'!D50</x:f>
        <x:v>232.9000000000001</x:v>
      </x:c>
      <x:c r="AE78" s="44" t="n">
        <x:f>MAX(AD78,0)</x:f>
        <x:v>232.9000000000001</x:v>
      </x:c>
      <x:c r="AF78" s="44" t="n">
        <x:f>MIN(AD78,0)</x:f>
        <x:v>0</x:v>
      </x:c>
      <x:c r="AI78" s="36" t="str">
        <x:f>AA71</x:f>
        <x:v>1927-06</x:v>
      </x:c>
      <x:c r="AJ78" s="68" t="n">
        <x:f>'Monthly totals'!I43</x:f>
        <x:v>87.9484766498059</x:v>
      </x:c>
      <x:c r="AK78" s="68" t="n">
        <x:f>'Monthly totals'!J43</x:f>
        <x:v>92.07780315760876</x:v>
      </x:c>
    </x:row>
    <x:row r="79" ht="16.5" customHeight="1">
      <x:c r="A79" s="22"/>
      <x:c r="B79" s="22"/>
      <x:c r="C79" s="22"/>
      <x:c r="D79" s="22"/>
      <x:c r="E79" s="22"/>
      <x:c r="F79" s="22"/>
      <x:c r="G79" s="22"/>
      <x:c r="H79" s="22"/>
      <x:c r="I79" s="22"/>
      <x:c r="J79" s="22"/>
      <x:c r="K79" s="22"/>
      <x:c r="L79" s="22"/>
      <x:c r="M79" s="22"/>
      <x:c r="N79" s="22"/>
      <x:c r="O79" s="22"/>
      <x:c r="P79" s="22"/>
      <x:c r="Q79" s="22"/>
      <x:c r="R79" s="22"/>
      <x:c r="S79" s="22"/>
      <x:c r="T79" s="22"/>
      <x:c r="U79" s="22"/>
      <x:c r="V79" s="22"/>
      <x:c r="W79" s="22"/>
      <x:c r="AA79" s="46" t="str">
        <x:f>YEAR('Monthly totals'!A51)&amp;"-"&amp;IF(MONTH('Monthly totals'!A51)&lt;10,"0","")&amp;MONTH('Monthly totals'!A51)</x:f>
        <x:v>1928-02</x:v>
      </x:c>
      <x:c r="AB79" s="44" t="n">
        <x:f>'Monthly totals'!B51</x:f>
        <x:v>1483.8</x:v>
      </x:c>
      <x:c r="AC79" s="44" t="n">
        <x:f>'Monthly totals'!C51</x:f>
        <x:v>1490.1</x:v>
      </x:c>
      <x:c r="AD79" s="44" t="n">
        <x:f>'Monthly totals'!D51</x:f>
        <x:v>-6.2999999999999545</x:v>
      </x:c>
      <x:c r="AE79" s="44" t="n">
        <x:f>MAX(AD79,0)</x:f>
        <x:v>0</x:v>
      </x:c>
      <x:c r="AF79" s="44" t="n">
        <x:f>MIN(AD79,0)</x:f>
        <x:v>-6.2999999999999545</x:v>
      </x:c>
      <x:c r="AI79" s="36" t="str">
        <x:f>AA72</x:f>
        <x:v>1927-07</x:v>
      </x:c>
      <x:c r="AJ79" s="68" t="n">
        <x:f>'Monthly totals'!I44</x:f>
        <x:v>82.18444888836608</x:v>
      </x:c>
      <x:c r="AK79" s="68" t="n">
        <x:f>'Monthly totals'!J44</x:f>
        <x:v>80.06922991778947</x:v>
      </x:c>
    </x:row>
    <x:row r="80" ht="16.5" customHeight="1">
      <x:c r="A80" s="22"/>
      <x:c r="B80" s="22"/>
      <x:c r="C80" s="22"/>
      <x:c r="D80" s="22"/>
      <x:c r="E80" s="22"/>
      <x:c r="F80" s="22"/>
      <x:c r="G80" s="22"/>
      <x:c r="H80" s="22"/>
      <x:c r="I80" s="22"/>
      <x:c r="J80" s="22"/>
      <x:c r="K80" s="22"/>
      <x:c r="L80" s="22"/>
      <x:c r="M80" s="22"/>
      <x:c r="N80" s="22"/>
      <x:c r="O80" s="22"/>
      <x:c r="P80" s="22"/>
      <x:c r="Q80" s="22"/>
      <x:c r="R80" s="22"/>
      <x:c r="S80" s="22"/>
      <x:c r="T80" s="22"/>
      <x:c r="U80" s="22"/>
      <x:c r="V80" s="22"/>
      <x:c r="W80" s="22"/>
      <x:c r="AA80" s="46" t="str">
        <x:f>YEAR('Monthly totals'!A52)&amp;"-"&amp;IF(MONTH('Monthly totals'!A52)&lt;10,"0","")&amp;MONTH('Monthly totals'!A52)</x:f>
        <x:v>1928-03</x:v>
      </x:c>
      <x:c r="AB80" s="44" t="n">
        <x:f>'Monthly totals'!B52</x:f>
        <x:v>1867.6</x:v>
      </x:c>
      <x:c r="AC80" s="44" t="n">
        <x:f>'Monthly totals'!C52</x:f>
        <x:v>1783.7</x:v>
      </x:c>
      <x:c r="AD80" s="44" t="n">
        <x:f>'Monthly totals'!D52</x:f>
        <x:v>83.89999999999986</x:v>
      </x:c>
      <x:c r="AE80" s="44" t="n">
        <x:f>MAX(AD80,0)</x:f>
        <x:v>83.89999999999986</x:v>
      </x:c>
      <x:c r="AF80" s="44" t="n">
        <x:f>MIN(AD80,0)</x:f>
        <x:v>0</x:v>
      </x:c>
      <x:c r="AI80" s="36" t="str">
        <x:f>AA73</x:f>
        <x:v>1927-08</x:v>
      </x:c>
      <x:c r="AJ80" s="68" t="n">
        <x:f>'Monthly totals'!I45</x:f>
        <x:v>92.46559228326079</x:v>
      </x:c>
      <x:c r="AK80" s="68" t="n">
        <x:f>'Monthly totals'!J45</x:f>
        <x:v>95.15088700832167</x:v>
      </x:c>
    </x:row>
    <x:row r="81" ht="16.5" customHeight="1">
      <x:c r="A81" s="22"/>
      <x:c r="B81" s="24" t="str">
        <x:v>15 selected partners in alphabetical order. They do not form a complete decomposition of national trade.</x:v>
      </x:c>
      <x:c r="C81" s="22"/>
      <x:c r="D81" s="22"/>
      <x:c r="E81" s="22"/>
      <x:c r="F81" s="22"/>
      <x:c r="G81" s="22"/>
      <x:c r="H81" s="22"/>
      <x:c r="I81" s="22"/>
      <x:c r="J81" s="22"/>
      <x:c r="K81" s="22"/>
      <x:c r="L81" s="22"/>
      <x:c r="M81" s="22"/>
      <x:c r="N81" s="22"/>
      <x:c r="O81" s="22"/>
      <x:c r="P81" s="22"/>
      <x:c r="Q81" s="22"/>
      <x:c r="R81" s="22"/>
      <x:c r="S81" s="22"/>
      <x:c r="T81" s="22"/>
      <x:c r="U81" s="22"/>
      <x:c r="V81" s="22"/>
      <x:c r="W81" s="22"/>
      <x:c r="AA81" s="46" t="str">
        <x:f>YEAR('Monthly totals'!A53)&amp;"-"&amp;IF(MONTH('Monthly totals'!A53)&lt;10,"0","")&amp;MONTH('Monthly totals'!A53)</x:f>
        <x:v>1928-04</x:v>
      </x:c>
      <x:c r="AB81" s="44" t="n">
        <x:f>'Monthly totals'!B53</x:f>
        <x:v>1664</x:v>
      </x:c>
      <x:c r="AC81" s="44" t="n">
        <x:f>'Monthly totals'!C53</x:f>
        <x:v>1472.4</x:v>
      </x:c>
      <x:c r="AD81" s="44" t="n">
        <x:f>'Monthly totals'!D53</x:f>
        <x:v>191.5999999999999</x:v>
      </x:c>
      <x:c r="AE81" s="44" t="n">
        <x:f>MAX(AD81,0)</x:f>
        <x:v>191.5999999999999</x:v>
      </x:c>
      <x:c r="AF81" s="44" t="n">
        <x:f>MIN(AD81,0)</x:f>
        <x:v>0</x:v>
      </x:c>
      <x:c r="AI81" s="36" t="str">
        <x:f>AA74</x:f>
        <x:v>1927-09</x:v>
      </x:c>
      <x:c r="AJ81" s="68" t="n">
        <x:f>'Monthly totals'!I46</x:f>
        <x:v>112.9867074461828</x:v>
      </x:c>
      <x:c r="AK81" s="68" t="n">
        <x:f>'Monthly totals'!J46</x:f>
        <x:v>90.67710482093803</x:v>
      </x:c>
    </x:row>
    <x:row r="82" ht="16.5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  <x:c r="K82" s="22"/>
      <x:c r="L82" s="22"/>
      <x:c r="M82" s="22"/>
      <x:c r="N82" s="22"/>
      <x:c r="O82" s="22"/>
      <x:c r="P82" s="22"/>
      <x:c r="Q82" s="22"/>
      <x:c r="R82" s="22"/>
      <x:c r="S82" s="22"/>
      <x:c r="T82" s="22"/>
      <x:c r="U82" s="22"/>
      <x:c r="V82" s="22"/>
      <x:c r="W82" s="22"/>
      <x:c r="AA82" s="46" t="str">
        <x:f>YEAR('Monthly totals'!A54)&amp;"-"&amp;IF(MONTH('Monthly totals'!A54)&lt;10,"0","")&amp;MONTH('Monthly totals'!A54)</x:f>
        <x:v>1928-05</x:v>
      </x:c>
      <x:c r="AB82" s="44" t="n">
        <x:f>'Monthly totals'!B54</x:f>
        <x:v>1581.3</x:v>
      </x:c>
      <x:c r="AC82" s="44" t="n">
        <x:f>'Monthly totals'!C54</x:f>
        <x:v>1558.5</x:v>
      </x:c>
      <x:c r="AD82" s="44" t="n">
        <x:f>'Monthly totals'!D54</x:f>
        <x:v>22.799999999999955</x:v>
      </x:c>
      <x:c r="AE82" s="44" t="n">
        <x:f>MAX(AD82,0)</x:f>
        <x:v>22.799999999999955</x:v>
      </x:c>
      <x:c r="AF82" s="44" t="n">
        <x:f>MIN(AD82,0)</x:f>
        <x:v>0</x:v>
      </x:c>
      <x:c r="AI82" s="36" t="str">
        <x:f>AA75</x:f>
        <x:v>1927-10</x:v>
      </x:c>
      <x:c r="AJ82" s="68" t="n">
        <x:f>'Monthly totals'!I47</x:f>
        <x:v>117.88613104340665</x:v>
      </x:c>
      <x:c r="AK82" s="68" t="n">
        <x:f>'Monthly totals'!J47</x:f>
        <x:v>111.78417975628655</x:v>
      </x:c>
    </x:row>
    <x:row r="83" ht="18" customHeight="1">
      <x:c r="A83" s="70"/>
      <x:c r="B83" s="70"/>
      <x:c r="C83" s="70"/>
      <x:c r="D83" s="70"/>
      <x:c r="E83" s="70"/>
      <x:c r="F83" s="70"/>
      <x:c r="G83" s="70"/>
      <x:c r="H83" s="70"/>
      <x:c r="I83" s="70"/>
      <x:c r="J83" s="70"/>
      <x:c r="K83" s="70"/>
      <x:c r="L83" s="70"/>
      <x:c r="M83" s="70"/>
      <x:c r="N83" s="70"/>
      <x:c r="O83" s="70"/>
      <x:c r="P83" s="70"/>
      <x:c r="Q83" s="70"/>
      <x:c r="R83" s="70"/>
      <x:c r="S83" s="70"/>
      <x:c r="T83" s="70"/>
      <x:c r="U83" s="70"/>
      <x:c r="V83" s="70"/>
      <x:c r="W83" s="70"/>
      <x:c r="X83" s="70"/>
      <x:c r="Y83" s="70"/>
      <x:c r="Z83" s="70"/>
      <x:c r="AA83" s="46" t="str">
        <x:f>YEAR('Monthly totals'!A55)&amp;"-"&amp;IF(MONTH('Monthly totals'!A55)&lt;10,"0","")&amp;MONTH('Monthly totals'!A55)</x:f>
        <x:v>1928-06</x:v>
      </x:c>
      <x:c r="AB83" s="44" t="n">
        <x:f>'Monthly totals'!B55</x:f>
        <x:v>1627.1</x:v>
      </x:c>
      <x:c r="AC83" s="44" t="n">
        <x:f>'Monthly totals'!C55</x:f>
        <x:v>1387</x:v>
      </x:c>
      <x:c r="AD83" s="44" t="n">
        <x:f>'Monthly totals'!D55</x:f>
        <x:v>240.0999999999999</x:v>
      </x:c>
      <x:c r="AE83" s="44" t="n">
        <x:f>MAX(AD83,0)</x:f>
        <x:v>240.0999999999999</x:v>
      </x:c>
      <x:c r="AF83" s="44" t="n">
        <x:f>MIN(AD83,0)</x:f>
        <x:v>0</x:v>
      </x:c>
      <x:c r="AI83" s="36" t="str">
        <x:f>AA76</x:f>
        <x:v>1927-11</x:v>
      </x:c>
      <x:c r="AJ83" s="68" t="n">
        <x:f>'Monthly totals'!I48</x:f>
        <x:v>123.32078578990705</x:v>
      </x:c>
      <x:c r="AK83" s="68" t="n">
        <x:f>'Monthly totals'!J48</x:f>
        <x:v>105.42669980579399</x:v>
      </x:c>
    </x:row>
    <x:row r="84" ht="18" customHeight="1">
      <x:c r="A84" s="70"/>
      <x:c r="B84" s="71" t="str">
        <x:v>Trade values relative to 1929</x:v>
      </x:c>
      <x:c r="C84" s="70"/>
      <x:c r="D84" s="70"/>
      <x:c r="E84" s="70"/>
      <x:c r="F84" s="70"/>
      <x:c r="G84" s="70"/>
      <x:c r="H84" s="70"/>
      <x:c r="I84" s="70"/>
      <x:c r="J84" s="70"/>
      <x:c r="K84" s="70"/>
      <x:c r="L84" s="70"/>
      <x:c r="M84" s="70"/>
      <x:c r="N84" s="70"/>
      <x:c r="O84" s="70"/>
      <x:c r="P84" s="70"/>
      <x:c r="Q84" s="70"/>
      <x:c r="R84" s="70"/>
      <x:c r="S84" s="70"/>
      <x:c r="T84" s="70"/>
      <x:c r="U84" s="70"/>
      <x:c r="V84" s="70"/>
      <x:c r="W84" s="70"/>
      <x:c r="X84" s="70"/>
      <x:c r="Y84" s="70"/>
      <x:c r="Z84" s="70"/>
      <x:c r="AA84" s="46" t="str">
        <x:f>YEAR('Monthly totals'!A56)&amp;"-"&amp;IF(MONTH('Monthly totals'!A56)&lt;10,"0","")&amp;MONTH('Monthly totals'!A56)</x:f>
        <x:v>1928-07</x:v>
      </x:c>
      <x:c r="AB84" s="44" t="n">
        <x:f>'Monthly totals'!B56</x:f>
        <x:v>1560.8</x:v>
      </x:c>
      <x:c r="AC84" s="44" t="n">
        <x:f>'Monthly totals'!C56</x:f>
        <x:v>1661.5</x:v>
      </x:c>
      <x:c r="AD84" s="44" t="n">
        <x:f>'Monthly totals'!D56</x:f>
        <x:v>-100.70000000000005</x:v>
      </x:c>
      <x:c r="AE84" s="44" t="n">
        <x:f>MAX(AD84,0)</x:f>
        <x:v>0</x:v>
      </x:c>
      <x:c r="AF84" s="44" t="n">
        <x:f>MIN(AD84,0)</x:f>
        <x:v>-100.70000000000005</x:v>
      </x:c>
      <x:c r="AI84" s="36" t="str">
        <x:f>AA77</x:f>
        <x:v>1927-12</x:v>
      </x:c>
      <x:c r="AJ84" s="68" t="n">
        <x:f>'Monthly totals'!I49</x:f>
        <x:v>137.86613339607104</x:v>
      </x:c>
      <x:c r="AK84" s="68" t="n">
        <x:f>'Monthly totals'!J49</x:f>
        <x:v>144.03646645669608</x:v>
      </x:c>
    </x:row>
    <x:row r="85" ht="18" customHeight="1">
      <x:c r="A85" s="70"/>
      <x:c r="B85" s="72" t="str">
        <x:v>Current prices. Annual: 1929 = 100. Monthly: average month in 1929 = 100.</x:v>
      </x:c>
      <x:c r="C85" s="70"/>
      <x:c r="D85" s="70"/>
      <x:c r="E85" s="70"/>
      <x:c r="F85" s="70"/>
      <x:c r="G85" s="70"/>
      <x:c r="H85" s="70"/>
      <x:c r="I85" s="70"/>
      <x:c r="J85" s="70"/>
      <x:c r="K85" s="70"/>
      <x:c r="L85" s="70"/>
      <x:c r="M85" s="70"/>
      <x:c r="N85" s="70"/>
      <x:c r="O85" s="70"/>
      <x:c r="P85" s="70"/>
      <x:c r="Q85" s="70"/>
      <x:c r="R85" s="70"/>
      <x:c r="S85" s="70"/>
      <x:c r="T85" s="70"/>
      <x:c r="U85" s="70"/>
      <x:c r="V85" s="70"/>
      <x:c r="W85" s="70"/>
      <x:c r="X85" s="70"/>
      <x:c r="Y85" s="70"/>
      <x:c r="Z85" s="70"/>
      <x:c r="AA85" s="46" t="str">
        <x:f>YEAR('Monthly totals'!A57)&amp;"-"&amp;IF(MONTH('Monthly totals'!A57)&lt;10,"0","")&amp;MONTH('Monthly totals'!A57)</x:f>
        <x:v>1928-08</x:v>
      </x:c>
      <x:c r="AB85" s="44" t="n">
        <x:f>'Monthly totals'!B57</x:f>
        <x:v>1769.8</x:v>
      </x:c>
      <x:c r="AC85" s="44" t="n">
        <x:f>'Monthly totals'!C57</x:f>
        <x:v>1296.9</x:v>
      </x:c>
      <x:c r="AD85" s="44" t="n">
        <x:f>'Monthly totals'!D57</x:f>
        <x:v>472.89999999999986</x:v>
      </x:c>
      <x:c r="AE85" s="44" t="n">
        <x:f>MAX(AD85,0)</x:f>
        <x:v>472.89999999999986</x:v>
      </x:c>
      <x:c r="AF85" s="44" t="n">
        <x:f>MIN(AD85,0)</x:f>
        <x:v>0</x:v>
      </x:c>
      <x:c r="AI85" s="36" t="str">
        <x:f>AA78</x:f>
        <x:v>1928-01</x:v>
      </x:c>
      <x:c r="AJ85" s="68" t="n">
        <x:f>'Monthly totals'!I50</x:f>
        <x:v>90.98929537701447</x:v>
      </x:c>
      <x:c r="AK85" s="68" t="n">
        <x:f>'Monthly totals'!J50</x:f>
        <x:v>79.33869328530173</x:v>
      </x:c>
    </x:row>
    <x:row r="86" ht="18" customHeight="1">
      <x:c r="A86" s="70"/>
      <x:c r="B86" s="70"/>
      <x:c r="C86" s="70"/>
      <x:c r="D86" s="70"/>
      <x:c r="E86" s="70"/>
      <x:c r="F86" s="70"/>
      <x:c r="G86" s="70"/>
      <x:c r="H86" s="70"/>
      <x:c r="I86" s="70"/>
      <x:c r="J86" s="70"/>
      <x:c r="K86" s="70"/>
      <x:c r="L86" s="70"/>
      <x:c r="M86" s="70"/>
      <x:c r="N86" s="70"/>
      <x:c r="O86" s="70"/>
      <x:c r="P86" s="70"/>
      <x:c r="Q86" s="70"/>
      <x:c r="R86" s="70"/>
      <x:c r="S86" s="70"/>
      <x:c r="T86" s="70"/>
      <x:c r="U86" s="70"/>
      <x:c r="V86" s="70"/>
      <x:c r="W86" s="70"/>
      <x:c r="X86" s="70"/>
      <x:c r="Y86" s="70"/>
      <x:c r="Z86" s="70"/>
      <x:c r="AA86" s="46" t="str">
        <x:f>YEAR('Monthly totals'!A58)&amp;"-"&amp;IF(MONTH('Monthly totals'!A58)&lt;10,"0","")&amp;MONTH('Monthly totals'!A58)</x:f>
        <x:v>1928-09</x:v>
      </x:c>
      <x:c r="AB86" s="44" t="n">
        <x:f>'Monthly totals'!B58</x:f>
        <x:v>1824.9</x:v>
      </x:c>
      <x:c r="AC86" s="44" t="n">
        <x:f>'Monthly totals'!C58</x:f>
        <x:v>1641.1</x:v>
      </x:c>
      <x:c r="AD86" s="44" t="n">
        <x:f>'Monthly totals'!D58</x:f>
        <x:v>183.80000000000018</x:v>
      </x:c>
      <x:c r="AE86" s="44" t="n">
        <x:f>MAX(AD86,0)</x:f>
        <x:v>183.80000000000018</x:v>
      </x:c>
      <x:c r="AF86" s="44" t="n">
        <x:f>MIN(AD86,0)</x:f>
        <x:v>0</x:v>
      </x:c>
      <x:c r="AI86" s="36" t="str">
        <x:f>AA79</x:f>
        <x:v>1928-02</x:v>
      </x:c>
      <x:c r="AJ86" s="68" t="n">
        <x:f>'Monthly totals'!I51</x:f>
        <x:v>87.27208563698389</x:v>
      </x:c>
      <x:c r="AK86" s="68" t="n">
        <x:f>'Monthly totals'!J51</x:f>
        <x:v>89.96468066694172</x:v>
      </x:c>
    </x:row>
    <x:row r="87" ht="18" customHeight="1">
      <x:c r="A87" s="70"/>
      <x:c r="B87" s="70"/>
      <x:c r="C87" s="70"/>
      <x:c r="D87" s="70"/>
      <x:c r="E87" s="70"/>
      <x:c r="F87" s="70"/>
      <x:c r="G87" s="70"/>
      <x:c r="H87" s="70"/>
      <x:c r="I87" s="70"/>
      <x:c r="J87" s="70"/>
      <x:c r="K87" s="70"/>
      <x:c r="L87" s="70"/>
      <x:c r="M87" s="70"/>
      <x:c r="N87" s="70"/>
      <x:c r="O87" s="70"/>
      <x:c r="P87" s="70"/>
      <x:c r="Q87" s="70"/>
      <x:c r="R87" s="70"/>
      <x:c r="S87" s="70"/>
      <x:c r="T87" s="70"/>
      <x:c r="U87" s="70"/>
      <x:c r="V87" s="70"/>
      <x:c r="W87" s="70"/>
      <x:c r="X87" s="70"/>
      <x:c r="Y87" s="70"/>
      <x:c r="Z87" s="70"/>
      <x:c r="AA87" s="46" t="str">
        <x:f>YEAR('Monthly totals'!A59)&amp;"-"&amp;IF(MONTH('Monthly totals'!A59)&lt;10,"0","")&amp;MONTH('Monthly totals'!A59)</x:f>
        <x:v>1928-10</x:v>
      </x:c>
      <x:c r="AB87" s="44" t="n">
        <x:f>'Monthly totals'!B59</x:f>
        <x:v>2078.4</x:v>
      </x:c>
      <x:c r="AC87" s="44" t="n">
        <x:f>'Monthly totals'!C59</x:f>
        <x:v>1852.8</x:v>
      </x:c>
      <x:c r="AD87" s="44" t="n">
        <x:f>'Monthly totals'!D59</x:f>
        <x:v>225.60000000000014</x:v>
      </x:c>
      <x:c r="AE87" s="44" t="n">
        <x:f>MAX(AD87,0)</x:f>
        <x:v>225.60000000000014</x:v>
      </x:c>
      <x:c r="AF87" s="44" t="n">
        <x:f>MIN(AD87,0)</x:f>
        <x:v>0</x:v>
      </x:c>
      <x:c r="AI87" s="36" t="str">
        <x:f>AA80</x:f>
        <x:v>1928-03</x:v>
      </x:c>
      <x:c r="AJ87" s="68" t="n">
        <x:f>'Monthly totals'!I52</x:f>
        <x:v>109.8459004822962</x:v>
      </x:c>
      <x:c r="AK87" s="68" t="n">
        <x:f>'Monthly totals'!J52</x:f>
        <x:v>107.69075961722295</x:v>
      </x:c>
    </x:row>
    <x:row r="88" ht="18" customHeight="1">
      <x:c r="A88" s="70"/>
      <x:c r="B88" s="70"/>
      <x:c r="C88" s="70"/>
      <x:c r="D88" s="70"/>
      <x:c r="E88" s="70"/>
      <x:c r="F88" s="70"/>
      <x:c r="G88" s="70"/>
      <x:c r="H88" s="70"/>
      <x:c r="I88" s="70"/>
      <x:c r="J88" s="70"/>
      <x:c r="K88" s="70"/>
      <x:c r="L88" s="70"/>
      <x:c r="M88" s="70"/>
      <x:c r="N88" s="70"/>
      <x:c r="O88" s="70"/>
      <x:c r="P88" s="70"/>
      <x:c r="Q88" s="70"/>
      <x:c r="R88" s="70"/>
      <x:c r="S88" s="70"/>
      <x:c r="T88" s="70"/>
      <x:c r="U88" s="70"/>
      <x:c r="V88" s="70"/>
      <x:c r="W88" s="70"/>
      <x:c r="X88" s="70"/>
      <x:c r="Y88" s="70"/>
      <x:c r="Z88" s="70"/>
      <x:c r="AA88" s="46" t="str">
        <x:f>YEAR('Monthly totals'!A60)&amp;"-"&amp;IF(MONTH('Monthly totals'!A60)&lt;10,"0","")&amp;MONTH('Monthly totals'!A60)</x:f>
        <x:v>1928-11</x:v>
      </x:c>
      <x:c r="AB88" s="44" t="n">
        <x:f>'Monthly totals'!B60</x:f>
        <x:v>2029.4</x:v>
      </x:c>
      <x:c r="AC88" s="44" t="n">
        <x:f>'Monthly totals'!C60</x:f>
        <x:v>1796.8</x:v>
      </x:c>
      <x:c r="AD88" s="44" t="n">
        <x:f>'Monthly totals'!D60</x:f>
        <x:v>232.60000000000014</x:v>
      </x:c>
      <x:c r="AE88" s="44" t="n">
        <x:f>MAX(AD88,0)</x:f>
        <x:v>232.60000000000014</x:v>
      </x:c>
      <x:c r="AF88" s="44" t="n">
        <x:f>MIN(AD88,0)</x:f>
        <x:v>0</x:v>
      </x:c>
      <x:c r="AI88" s="36" t="str">
        <x:f>AA81</x:f>
        <x:v>1928-04</x:v>
      </x:c>
      <x:c r="AJ88" s="68" t="n">
        <x:f>'Monthly totals'!I53</x:f>
        <x:v>97.8708387248559</x:v>
      </x:c>
      <x:c r="AK88" s="68" t="n">
        <x:f>'Monthly totals'!J53</x:f>
        <x:v>88.89604443594723</x:v>
      </x:c>
    </x:row>
    <x:row r="89" ht="18" customHeight="1">
      <x:c r="A89" s="70"/>
      <x:c r="B89" s="70"/>
      <x:c r="C89" s="70"/>
      <x:c r="D89" s="70"/>
      <x:c r="E89" s="70"/>
      <x:c r="F89" s="70"/>
      <x:c r="G89" s="70"/>
      <x:c r="H89" s="70"/>
      <x:c r="I89" s="70"/>
      <x:c r="J89" s="70"/>
      <x:c r="K89" s="70"/>
      <x:c r="L89" s="70"/>
      <x:c r="M89" s="70"/>
      <x:c r="N89" s="70"/>
      <x:c r="O89" s="70"/>
      <x:c r="P89" s="70"/>
      <x:c r="Q89" s="70"/>
      <x:c r="R89" s="70"/>
      <x:c r="S89" s="70"/>
      <x:c r="T89" s="70"/>
      <x:c r="U89" s="70"/>
      <x:c r="V89" s="70"/>
      <x:c r="W89" s="70"/>
      <x:c r="X89" s="70"/>
      <x:c r="Y89" s="70"/>
      <x:c r="Z89" s="70"/>
      <x:c r="AA89" s="46" t="str">
        <x:f>YEAR('Monthly totals'!A61)&amp;"-"&amp;IF(MONTH('Monthly totals'!A61)&lt;10,"0","")&amp;MONTH('Monthly totals'!A61)</x:f>
        <x:v>1928-12</x:v>
      </x:c>
      <x:c r="AB89" s="44" t="n">
        <x:f>'Monthly totals'!B61</x:f>
        <x:v>2154.1</x:v>
      </x:c>
      <x:c r="AC89" s="44" t="n">
        <x:f>'Monthly totals'!C61</x:f>
        <x:v>1911.7</x:v>
      </x:c>
      <x:c r="AD89" s="44" t="n">
        <x:f>'Monthly totals'!D61</x:f>
        <x:v>242.39999999999986</x:v>
      </x:c>
      <x:c r="AE89" s="44" t="n">
        <x:f>MAX(AD89,0)</x:f>
        <x:v>242.39999999999986</x:v>
      </x:c>
      <x:c r="AF89" s="44" t="n">
        <x:f>MIN(AD89,0)</x:f>
        <x:v>0</x:v>
      </x:c>
      <x:c r="AI89" s="36" t="str">
        <x:f>AA82</x:f>
        <x:v>1928-05</x:v>
      </x:c>
      <x:c r="AJ89" s="68" t="n">
        <x:f>'Monthly totals'!I54</x:f>
        <x:v>93.0067050935184</x:v>
      </x:c>
      <x:c r="AK89" s="68" t="n">
        <x:f>'Monthly totals'!J54</x:f>
        <x:v>94.09432576298816</x:v>
      </x:c>
    </x:row>
    <x:row r="90" ht="18" customHeight="1">
      <x:c r="A90" s="70"/>
      <x:c r="B90" s="70"/>
      <x:c r="C90" s="70"/>
      <x:c r="D90" s="70"/>
      <x:c r="E90" s="70"/>
      <x:c r="F90" s="70"/>
      <x:c r="G90" s="70"/>
      <x:c r="H90" s="70"/>
      <x:c r="I90" s="70"/>
      <x:c r="J90" s="70"/>
      <x:c r="K90" s="70"/>
      <x:c r="L90" s="70"/>
      <x:c r="M90" s="70"/>
      <x:c r="N90" s="70"/>
      <x:c r="O90" s="70"/>
      <x:c r="P90" s="70"/>
      <x:c r="Q90" s="70"/>
      <x:c r="R90" s="70"/>
      <x:c r="S90" s="70"/>
      <x:c r="T90" s="70"/>
      <x:c r="U90" s="70"/>
      <x:c r="V90" s="70"/>
      <x:c r="W90" s="70"/>
      <x:c r="X90" s="70"/>
      <x:c r="Y90" s="70"/>
      <x:c r="Z90" s="70"/>
      <x:c r="AA90" s="46" t="str">
        <x:f>YEAR('Monthly totals'!A62)&amp;"-"&amp;IF(MONTH('Monthly totals'!A62)&lt;10,"0","")&amp;MONTH('Monthly totals'!A62)</x:f>
        <x:v>1929-01</x:v>
      </x:c>
      <x:c r="AB90" s="44" t="n">
        <x:f>'Monthly totals'!B62</x:f>
        <x:v>1403.1</x:v>
      </x:c>
      <x:c r="AC90" s="44" t="n">
        <x:f>'Monthly totals'!C62</x:f>
        <x:v>1699.1</x:v>
      </x:c>
      <x:c r="AD90" s="44" t="n">
        <x:f>'Monthly totals'!D62</x:f>
        <x:v>-296</x:v>
      </x:c>
      <x:c r="AE90" s="44" t="n">
        <x:f>MAX(AD90,0)</x:f>
        <x:v>0</x:v>
      </x:c>
      <x:c r="AF90" s="44" t="n">
        <x:f>MIN(AD90,0)</x:f>
        <x:v>-296</x:v>
      </x:c>
      <x:c r="AI90" s="36" t="str">
        <x:f>AA83</x:f>
        <x:v>1928-06</x:v>
      </x:c>
      <x:c r="AJ90" s="68" t="n">
        <x:f>'Monthly totals'!I55</x:f>
        <x:v>95.70050582284436</x:v>
      </x:c>
      <x:c r="AK90" s="68" t="n">
        <x:f>'Monthly totals'!J55</x:f>
        <x:v>83.74002555871965</x:v>
      </x:c>
    </x:row>
    <x:row r="91" ht="18" customHeight="1">
      <x:c r="A91" s="70"/>
      <x:c r="B91" s="70"/>
      <x:c r="C91" s="70"/>
      <x:c r="D91" s="70"/>
      <x:c r="E91" s="70"/>
      <x:c r="F91" s="70"/>
      <x:c r="G91" s="70"/>
      <x:c r="H91" s="70"/>
      <x:c r="I91" s="70"/>
      <x:c r="J91" s="70"/>
      <x:c r="K91" s="70"/>
      <x:c r="L91" s="70"/>
      <x:c r="M91" s="70"/>
      <x:c r="N91" s="70"/>
      <x:c r="O91" s="70"/>
      <x:c r="P91" s="70"/>
      <x:c r="Q91" s="70"/>
      <x:c r="R91" s="70"/>
      <x:c r="S91" s="70"/>
      <x:c r="T91" s="70"/>
      <x:c r="U91" s="70"/>
      <x:c r="V91" s="70"/>
      <x:c r="W91" s="70"/>
      <x:c r="X91" s="70"/>
      <x:c r="Y91" s="70"/>
      <x:c r="Z91" s="70"/>
      <x:c r="AA91" s="46" t="str">
        <x:f>YEAR('Monthly totals'!A63)&amp;"-"&amp;IF(MONTH('Monthly totals'!A63)&lt;10,"0","")&amp;MONTH('Monthly totals'!A63)</x:f>
        <x:v>1929-02</x:v>
      </x:c>
      <x:c r="AB91" s="44" t="n">
        <x:f>'Monthly totals'!B63</x:f>
        <x:v>1167.5</x:v>
      </x:c>
      <x:c r="AC91" s="44" t="n">
        <x:f>'Monthly totals'!C63</x:f>
        <x:v>1236.3</x:v>
      </x:c>
      <x:c r="AD91" s="44" t="n">
        <x:f>'Monthly totals'!D63</x:f>
        <x:v>-68.79999999999995</x:v>
      </x:c>
      <x:c r="AE91" s="44" t="n">
        <x:f>MAX(AD91,0)</x:f>
        <x:v>0</x:v>
      </x:c>
      <x:c r="AF91" s="44" t="n">
        <x:f>MIN(AD91,0)</x:f>
        <x:v>-68.79999999999995</x:v>
      </x:c>
      <x:c r="AI91" s="36" t="str">
        <x:f>AA84</x:f>
        <x:v>1928-07</x:v>
      </x:c>
      <x:c r="AJ91" s="68" t="n">
        <x:f>'Monthly totals'!I56</x:f>
        <x:v>91.80096459240089</x:v>
      </x:c>
      <x:c r="AK91" s="68" t="n">
        <x:f>'Monthly totals'!J56</x:f>
        <x:v>100.31294337837974</x:v>
      </x:c>
    </x:row>
    <x:row r="92" ht="18" customHeight="1">
      <x:c r="A92" s="70"/>
      <x:c r="B92" s="70"/>
      <x:c r="C92" s="70"/>
      <x:c r="D92" s="70"/>
      <x:c r="E92" s="70"/>
      <x:c r="F92" s="70"/>
      <x:c r="G92" s="70"/>
      <x:c r="H92" s="70"/>
      <x:c r="I92" s="70"/>
      <x:c r="J92" s="70"/>
      <x:c r="K92" s="70"/>
      <x:c r="L92" s="70"/>
      <x:c r="M92" s="70"/>
      <x:c r="N92" s="70"/>
      <x:c r="O92" s="70"/>
      <x:c r="P92" s="70"/>
      <x:c r="Q92" s="70"/>
      <x:c r="R92" s="70"/>
      <x:c r="S92" s="70"/>
      <x:c r="T92" s="70"/>
      <x:c r="U92" s="70"/>
      <x:c r="V92" s="70"/>
      <x:c r="W92" s="70"/>
      <x:c r="X92" s="70"/>
      <x:c r="Y92" s="70"/>
      <x:c r="Z92" s="70"/>
      <x:c r="AA92" s="46" t="str">
        <x:f>YEAR('Monthly totals'!A64)&amp;"-"&amp;IF(MONTH('Monthly totals'!A64)&lt;10,"0","")&amp;MONTH('Monthly totals'!A64)</x:f>
        <x:v>1929-03</x:v>
      </x:c>
      <x:c r="AB92" s="44" t="n">
        <x:f>'Monthly totals'!B64</x:f>
        <x:v>1539.2</x:v>
      </x:c>
      <x:c r="AC92" s="44" t="n">
        <x:f>'Monthly totals'!C64</x:f>
        <x:v>1634.9</x:v>
      </x:c>
      <x:c r="AD92" s="44" t="n">
        <x:f>'Monthly totals'!D64</x:f>
        <x:v>-95.70000000000005</x:v>
      </x:c>
      <x:c r="AE92" s="44" t="n">
        <x:f>MAX(AD92,0)</x:f>
        <x:v>0</x:v>
      </x:c>
      <x:c r="AF92" s="44" t="n">
        <x:f>MIN(AD92,0)</x:f>
        <x:v>-95.70000000000005</x:v>
      </x:c>
      <x:c r="AI92" s="36" t="str">
        <x:f>AA85</x:f>
        <x:v>1928-08</x:v>
      </x:c>
      <x:c r="AJ92" s="68" t="n">
        <x:f>'Monthly totals'!I57</x:f>
        <x:v>104.09363604281849</x:v>
      </x:c>
      <x:c r="AK92" s="68" t="n">
        <x:f>'Monthly totals'!J57</x:f>
        <x:v>78.30024451845965</x:v>
      </x:c>
    </x:row>
    <x:row r="93" ht="18" customHeight="1">
      <x:c r="A93" s="70"/>
      <x:c r="B93" s="70"/>
      <x:c r="C93" s="70"/>
      <x:c r="D93" s="70"/>
      <x:c r="E93" s="70"/>
      <x:c r="F93" s="70"/>
      <x:c r="G93" s="70"/>
      <x:c r="H93" s="70"/>
      <x:c r="I93" s="70"/>
      <x:c r="J93" s="70"/>
      <x:c r="K93" s="70"/>
      <x:c r="L93" s="70"/>
      <x:c r="M93" s="70"/>
      <x:c r="N93" s="70"/>
      <x:c r="O93" s="70"/>
      <x:c r="P93" s="70"/>
      <x:c r="Q93" s="70"/>
      <x:c r="R93" s="70"/>
      <x:c r="S93" s="70"/>
      <x:c r="T93" s="70"/>
      <x:c r="U93" s="70"/>
      <x:c r="V93" s="70"/>
      <x:c r="W93" s="70"/>
      <x:c r="X93" s="70"/>
      <x:c r="Y93" s="70"/>
      <x:c r="Z93" s="70"/>
      <x:c r="AA93" s="46" t="str">
        <x:f>YEAR('Monthly totals'!A65)&amp;"-"&amp;IF(MONTH('Monthly totals'!A65)&lt;10,"0","")&amp;MONTH('Monthly totals'!A65)</x:f>
        <x:v>1929-04</x:v>
      </x:c>
      <x:c r="AB93" s="44" t="n">
        <x:f>'Monthly totals'!B65</x:f>
        <x:v>1900.9</x:v>
      </x:c>
      <x:c r="AC93" s="44" t="n">
        <x:f>'Monthly totals'!C65</x:f>
        <x:v>1705.8</x:v>
      </x:c>
      <x:c r="AD93" s="44" t="n">
        <x:f>'Monthly totals'!D65</x:f>
        <x:v>195.10000000000014</x:v>
      </x:c>
      <x:c r="AE93" s="44" t="n">
        <x:f>MAX(AD93,0)</x:f>
        <x:v>195.10000000000014</x:v>
      </x:c>
      <x:c r="AF93" s="44" t="n">
        <x:f>MIN(AD93,0)</x:f>
        <x:v>0</x:v>
      </x:c>
      <x:c r="AI93" s="36" t="str">
        <x:f>AA86</x:f>
        <x:v>1928-09</x:v>
      </x:c>
      <x:c r="AJ93" s="68" t="n">
        <x:f>'Monthly totals'!I58</x:f>
        <x:v>107.33443124338312</x:v>
      </x:c>
      <x:c r="AK93" s="68" t="n">
        <x:f>'Monthly totals'!J58</x:f>
        <x:v>99.08129484096239</x:v>
      </x:c>
    </x:row>
    <x:row r="94" ht="18" customHeight="1">
      <x:c r="A94" s="70"/>
      <x:c r="B94" s="70"/>
      <x:c r="C94" s="70"/>
      <x:c r="D94" s="70"/>
      <x:c r="E94" s="70"/>
      <x:c r="F94" s="70"/>
      <x:c r="G94" s="70"/>
      <x:c r="H94" s="70"/>
      <x:c r="I94" s="70"/>
      <x:c r="J94" s="70"/>
      <x:c r="K94" s="70"/>
      <x:c r="L94" s="70"/>
      <x:c r="M94" s="70"/>
      <x:c r="N94" s="70"/>
      <x:c r="O94" s="70"/>
      <x:c r="P94" s="70"/>
      <x:c r="Q94" s="70"/>
      <x:c r="R94" s="70"/>
      <x:c r="S94" s="70"/>
      <x:c r="T94" s="70"/>
      <x:c r="U94" s="70"/>
      <x:c r="V94" s="70"/>
      <x:c r="W94" s="70"/>
      <x:c r="X94" s="70"/>
      <x:c r="Y94" s="70"/>
      <x:c r="Z94" s="70"/>
      <x:c r="AA94" s="46" t="str">
        <x:f>YEAR('Monthly totals'!A66)&amp;"-"&amp;IF(MONTH('Monthly totals'!A66)&lt;10,"0","")&amp;MONTH('Monthly totals'!A66)</x:f>
        <x:v>1929-05</x:v>
      </x:c>
      <x:c r="AB94" s="44" t="n">
        <x:f>'Monthly totals'!B66</x:f>
        <x:v>1595.6</x:v>
      </x:c>
      <x:c r="AC94" s="44" t="n">
        <x:f>'Monthly totals'!C66</x:f>
        <x:v>1850.5</x:v>
      </x:c>
      <x:c r="AD94" s="44" t="n">
        <x:f>'Monthly totals'!D66</x:f>
        <x:v>-254.9000000000001</x:v>
      </x:c>
      <x:c r="AE94" s="44" t="n">
        <x:f>MAX(AD94,0)</x:f>
        <x:v>0</x:v>
      </x:c>
      <x:c r="AF94" s="44" t="n">
        <x:f>MIN(AD94,0)</x:f>
        <x:v>-254.9000000000001</x:v>
      </x:c>
      <x:c r="AI94" s="36" t="str">
        <x:f>AA87</x:f>
        <x:v>1928-10</x:v>
      </x:c>
      <x:c r="AJ94" s="68" t="n">
        <x:f>'Monthly totals'!I59</x:f>
        <x:v>122.24444183037289</x:v>
      </x:c>
      <x:c r="AK94" s="68" t="n">
        <x:f>'Monthly totals'!J59</x:f>
        <x:v>111.86266716308275</x:v>
      </x:c>
    </x:row>
    <x:row r="95" ht="18" customHeight="1">
      <x:c r="A95" s="70"/>
      <x:c r="B95" s="70"/>
      <x:c r="C95" s="70"/>
      <x:c r="D95" s="70"/>
      <x:c r="E95" s="70"/>
      <x:c r="F95" s="70"/>
      <x:c r="G95" s="70"/>
      <x:c r="H95" s="70"/>
      <x:c r="I95" s="70"/>
      <x:c r="J95" s="70"/>
      <x:c r="K95" s="70"/>
      <x:c r="L95" s="70"/>
      <x:c r="M95" s="70"/>
      <x:c r="N95" s="70"/>
      <x:c r="O95" s="70"/>
      <x:c r="P95" s="70"/>
      <x:c r="Q95" s="70"/>
      <x:c r="R95" s="70"/>
      <x:c r="S95" s="70"/>
      <x:c r="T95" s="70"/>
      <x:c r="U95" s="70"/>
      <x:c r="V95" s="70"/>
      <x:c r="W95" s="70"/>
      <x:c r="X95" s="70"/>
      <x:c r="Y95" s="70"/>
      <x:c r="Z95" s="70"/>
      <x:c r="AA95" s="46" t="str">
        <x:f>YEAR('Monthly totals'!A67)&amp;"-"&amp;IF(MONTH('Monthly totals'!A67)&lt;10,"0","")&amp;MONTH('Monthly totals'!A67)</x:f>
        <x:v>1929-06</x:v>
      </x:c>
      <x:c r="AB95" s="44" t="n">
        <x:f>'Monthly totals'!B67</x:f>
        <x:v>1641.7</x:v>
      </x:c>
      <x:c r="AC95" s="44" t="n">
        <x:f>'Monthly totals'!C67</x:f>
        <x:v>1747.9</x:v>
      </x:c>
      <x:c r="AD95" s="44" t="n">
        <x:f>'Monthly totals'!D67</x:f>
        <x:v>-106.20000000000005</x:v>
      </x:c>
      <x:c r="AE95" s="44" t="n">
        <x:f>MAX(AD95,0)</x:f>
        <x:v>0</x:v>
      </x:c>
      <x:c r="AF95" s="44" t="n">
        <x:f>MIN(AD95,0)</x:f>
        <x:v>-106.20000000000005</x:v>
      </x:c>
      <x:c r="AI95" s="36" t="str">
        <x:f>AA88</x:f>
        <x:v>1928-11</x:v>
      </x:c>
      <x:c r="AJ95" s="68" t="n">
        <x:f>'Monthly totals'!I60</x:f>
        <x:v>119.36242794965298</x:v>
      </x:c>
      <x:c r="AK95" s="68" t="n">
        <x:f>'Monthly totals'!J60</x:f>
        <x:v>108.48167117801547</x:v>
      </x:c>
    </x:row>
    <x:row r="96" ht="18" customHeight="1">
      <x:c r="A96" s="70"/>
      <x:c r="B96" s="70"/>
      <x:c r="C96" s="70"/>
      <x:c r="D96" s="70"/>
      <x:c r="E96" s="70"/>
      <x:c r="F96" s="70"/>
      <x:c r="G96" s="70"/>
      <x:c r="H96" s="70"/>
      <x:c r="I96" s="70"/>
      <x:c r="J96" s="70"/>
      <x:c r="K96" s="70"/>
      <x:c r="L96" s="70"/>
      <x:c r="M96" s="70"/>
      <x:c r="N96" s="70"/>
      <x:c r="O96" s="70"/>
      <x:c r="P96" s="70"/>
      <x:c r="Q96" s="70"/>
      <x:c r="R96" s="70"/>
      <x:c r="S96" s="70"/>
      <x:c r="T96" s="70"/>
      <x:c r="U96" s="70"/>
      <x:c r="V96" s="70"/>
      <x:c r="W96" s="70"/>
      <x:c r="X96" s="70"/>
      <x:c r="Y96" s="70"/>
      <x:c r="Z96" s="70"/>
      <x:c r="AA96" s="46" t="str">
        <x:f>YEAR('Monthly totals'!A68)&amp;"-"&amp;IF(MONTH('Monthly totals'!A68)&lt;10,"0","")&amp;MONTH('Monthly totals'!A68)</x:f>
        <x:v>1929-07</x:v>
      </x:c>
      <x:c r="AB96" s="44" t="n">
        <x:f>'Monthly totals'!B68</x:f>
        <x:v>1622.5</x:v>
      </x:c>
      <x:c r="AC96" s="44" t="n">
        <x:f>'Monthly totals'!C68</x:f>
        <x:v>1699.4</x:v>
      </x:c>
      <x:c r="AD96" s="44" t="n">
        <x:f>'Monthly totals'!D68</x:f>
        <x:v>-76.90000000000009</x:v>
      </x:c>
      <x:c r="AE96" s="44" t="n">
        <x:f>MAX(AD96,0)</x:f>
        <x:v>0</x:v>
      </x:c>
      <x:c r="AF96" s="44" t="n">
        <x:f>MIN(AD96,0)</x:f>
        <x:v>-76.90000000000009</x:v>
      </x:c>
      <x:c r="AI96" s="36" t="str">
        <x:f>AA89</x:f>
        <x:v>1928-12</x:v>
      </x:c>
      <x:c r="AJ96" s="68" t="n">
        <x:f>'Monthly totals'!I61</x:f>
        <x:v>126.6968591930361</x:v>
      </x:c>
      <x:c r="AK96" s="68" t="n">
        <x:f>'Monthly totals'!J61</x:f>
        <x:v>115.41875044023385</x:v>
      </x:c>
    </x:row>
    <x:row r="97" ht="18" customHeight="1">
      <x:c r="A97" s="70"/>
      <x:c r="B97" s="70"/>
      <x:c r="C97" s="70"/>
      <x:c r="D97" s="70"/>
      <x:c r="E97" s="70"/>
      <x:c r="F97" s="70"/>
      <x:c r="G97" s="70"/>
      <x:c r="H97" s="70"/>
      <x:c r="I97" s="70"/>
      <x:c r="J97" s="70"/>
      <x:c r="K97" s="70"/>
      <x:c r="L97" s="70"/>
      <x:c r="M97" s="70"/>
      <x:c r="N97" s="70"/>
      <x:c r="O97" s="70"/>
      <x:c r="P97" s="70"/>
      <x:c r="Q97" s="70"/>
      <x:c r="R97" s="70"/>
      <x:c r="S97" s="70"/>
      <x:c r="T97" s="70"/>
      <x:c r="U97" s="70"/>
      <x:c r="V97" s="70"/>
      <x:c r="W97" s="70"/>
      <x:c r="X97" s="70"/>
      <x:c r="Y97" s="70"/>
      <x:c r="Z97" s="70"/>
      <x:c r="AA97" s="46" t="str">
        <x:f>YEAR('Monthly totals'!A69)&amp;"-"&amp;IF(MONTH('Monthly totals'!A69)&lt;10,"0","")&amp;MONTH('Monthly totals'!A69)</x:f>
        <x:v>1929-08</x:v>
      </x:c>
      <x:c r="AB97" s="44" t="n">
        <x:f>'Monthly totals'!B69</x:f>
        <x:v>1755.3</x:v>
      </x:c>
      <x:c r="AC97" s="44" t="n">
        <x:f>'Monthly totals'!C69</x:f>
        <x:v>1541.3</x:v>
      </x:c>
      <x:c r="AD97" s="44" t="n">
        <x:f>'Monthly totals'!D69</x:f>
        <x:v>214</x:v>
      </x:c>
      <x:c r="AE97" s="44" t="n">
        <x:f>MAX(AD97,0)</x:f>
        <x:v>214</x:v>
      </x:c>
      <x:c r="AF97" s="44" t="n">
        <x:f>MIN(AD97,0)</x:f>
        <x:v>0</x:v>
      </x:c>
      <x:c r="AI97" s="36" t="str">
        <x:f>AA90</x:f>
        <x:v>1929-01</x:v>
      </x:c>
      <x:c r="AJ97" s="68" t="n">
        <x:f>'Monthly totals'!I62</x:f>
        <x:v>82.52558522526762</x:v>
      </x:c>
      <x:c r="AK97" s="68" t="n">
        <x:f>'Monthly totals'!J62</x:f>
        <x:v>102.5830406826392</x:v>
      </x:c>
    </x:row>
    <x:row r="98" ht="18" customHeight="1">
      <x:c r="A98" s="70"/>
      <x:c r="B98" s="70"/>
      <x:c r="C98" s="70"/>
      <x:c r="D98" s="70"/>
      <x:c r="E98" s="70"/>
      <x:c r="F98" s="70"/>
      <x:c r="G98" s="70"/>
      <x:c r="H98" s="70"/>
      <x:c r="I98" s="70"/>
      <x:c r="J98" s="70"/>
      <x:c r="K98" s="70"/>
      <x:c r="L98" s="70"/>
      <x:c r="M98" s="70"/>
      <x:c r="N98" s="70"/>
      <x:c r="O98" s="70"/>
      <x:c r="P98" s="70"/>
      <x:c r="Q98" s="70"/>
      <x:c r="R98" s="70"/>
      <x:c r="S98" s="70"/>
      <x:c r="T98" s="70"/>
      <x:c r="U98" s="70"/>
      <x:c r="V98" s="70"/>
      <x:c r="W98" s="70"/>
      <x:c r="X98" s="70"/>
      <x:c r="Y98" s="70"/>
      <x:c r="Z98" s="70"/>
      <x:c r="AA98" s="46" t="str">
        <x:f>YEAR('Monthly totals'!A70)&amp;"-"&amp;IF(MONTH('Monthly totals'!A70)&lt;10,"0","")&amp;MONTH('Monthly totals'!A70)</x:f>
        <x:v>1929-09</x:v>
      </x:c>
      <x:c r="AB98" s="44" t="n">
        <x:f>'Monthly totals'!B70</x:f>
        <x:v>1733.3</x:v>
      </x:c>
      <x:c r="AC98" s="44" t="n">
        <x:f>'Monthly totals'!C70</x:f>
        <x:v>1555.9</x:v>
      </x:c>
      <x:c r="AD98" s="44" t="n">
        <x:f>'Monthly totals'!D70</x:f>
        <x:v>177.39999999999986</x:v>
      </x:c>
      <x:c r="AE98" s="44" t="n">
        <x:f>MAX(AD98,0)</x:f>
        <x:v>177.39999999999986</x:v>
      </x:c>
      <x:c r="AF98" s="44" t="n">
        <x:f>MIN(AD98,0)</x:f>
        <x:v>0</x:v>
      </x:c>
      <x:c r="AI98" s="36" t="str">
        <x:f>AA91</x:f>
        <x:v>1929-02</x:v>
      </x:c>
      <x:c r="AJ98" s="68" t="n">
        <x:f>'Monthly totals'!I63</x:f>
        <x:v>68.66839195388778</x:v>
      </x:c>
      <x:c r="AK98" s="68" t="n">
        <x:f>'Monthly totals'!J63</x:f>
        <x:v>74.64152386319041</x:v>
      </x:c>
    </x:row>
    <x:row r="99" ht="18" customHeight="1">
      <x:c r="A99" s="70"/>
      <x:c r="B99" s="70"/>
      <x:c r="C99" s="70"/>
      <x:c r="D99" s="70"/>
      <x:c r="E99" s="70"/>
      <x:c r="F99" s="70"/>
      <x:c r="G99" s="70"/>
      <x:c r="H99" s="70"/>
      <x:c r="I99" s="70"/>
      <x:c r="J99" s="70"/>
      <x:c r="K99" s="70"/>
      <x:c r="L99" s="70"/>
      <x:c r="M99" s="70"/>
      <x:c r="N99" s="70"/>
      <x:c r="O99" s="70"/>
      <x:c r="P99" s="70"/>
      <x:c r="Q99" s="70"/>
      <x:c r="R99" s="70"/>
      <x:c r="S99" s="70"/>
      <x:c r="T99" s="70"/>
      <x:c r="U99" s="70"/>
      <x:c r="V99" s="70"/>
      <x:c r="W99" s="70"/>
      <x:c r="X99" s="70"/>
      <x:c r="Y99" s="70"/>
      <x:c r="Z99" s="70"/>
      <x:c r="AA99" s="46" t="str">
        <x:f>YEAR('Monthly totals'!A71)&amp;"-"&amp;IF(MONTH('Monthly totals'!A71)&lt;10,"0","")&amp;MONTH('Monthly totals'!A71)</x:f>
        <x:v>1929-10</x:v>
      </x:c>
      <x:c r="AB99" s="44" t="n">
        <x:f>'Monthly totals'!B71</x:f>
        <x:v>1907.3</x:v>
      </x:c>
      <x:c r="AC99" s="44" t="n">
        <x:f>'Monthly totals'!C71</x:f>
        <x:v>1619.8</x:v>
      </x:c>
      <x:c r="AD99" s="44" t="n">
        <x:f>'Monthly totals'!D71</x:f>
        <x:v>287.5</x:v>
      </x:c>
      <x:c r="AE99" s="44" t="n">
        <x:f>MAX(AD99,0)</x:f>
        <x:v>287.5</x:v>
      </x:c>
      <x:c r="AF99" s="44" t="n">
        <x:f>MIN(AD99,0)</x:f>
        <x:v>0</x:v>
      </x:c>
      <x:c r="AI99" s="36" t="str">
        <x:f>AA92</x:f>
        <x:v>1929-03</x:v>
      </x:c>
      <x:c r="AJ99" s="68" t="n">
        <x:f>'Monthly totals'!I64</x:f>
        <x:v>90.5305258204917</x:v>
      </x:c>
      <x:c r="AK99" s="68" t="n">
        <x:f>'Monthly totals'!J64</x:f>
        <x:v>98.70697028547279</x:v>
      </x:c>
    </x:row>
    <x:row r="100" ht="18" customHeight="1">
      <x:c r="A100" s="70"/>
      <x:c r="B100" s="70"/>
      <x:c r="C100" s="70"/>
      <x:c r="D100" s="70"/>
      <x:c r="E100" s="70"/>
      <x:c r="F100" s="70"/>
      <x:c r="G100" s="70"/>
      <x:c r="H100" s="70"/>
      <x:c r="I100" s="70"/>
      <x:c r="J100" s="70"/>
      <x:c r="K100" s="70"/>
      <x:c r="L100" s="70"/>
      <x:c r="M100" s="70"/>
      <x:c r="N100" s="70"/>
      <x:c r="O100" s="70"/>
      <x:c r="P100" s="70"/>
      <x:c r="Q100" s="70"/>
      <x:c r="R100" s="70"/>
      <x:c r="S100" s="70"/>
      <x:c r="T100" s="70"/>
      <x:c r="U100" s="70"/>
      <x:c r="V100" s="70"/>
      <x:c r="W100" s="70"/>
      <x:c r="X100" s="70"/>
      <x:c r="Y100" s="70"/>
      <x:c r="Z100" s="70"/>
      <x:c r="AA100" s="46" t="str">
        <x:f>YEAR('Monthly totals'!A72)&amp;"-"&amp;IF(MONTH('Monthly totals'!A72)&lt;10,"0","")&amp;MONTH('Monthly totals'!A72)</x:f>
        <x:v>1929-11</x:v>
      </x:c>
      <x:c r="AB100" s="44" t="n">
        <x:f>'Monthly totals'!B72</x:f>
        <x:v>1986.1</x:v>
      </x:c>
      <x:c r="AC100" s="44" t="n">
        <x:f>'Monthly totals'!C72</x:f>
        <x:v>1767.2</x:v>
      </x:c>
      <x:c r="AD100" s="44" t="n">
        <x:f>'Monthly totals'!D72</x:f>
        <x:v>218.89999999999986</x:v>
      </x:c>
      <x:c r="AE100" s="44" t="n">
        <x:f>MAX(AD100,0)</x:f>
        <x:v>218.89999999999986</x:v>
      </x:c>
      <x:c r="AF100" s="44" t="n">
        <x:f>MIN(AD100,0)</x:f>
        <x:v>0</x:v>
      </x:c>
      <x:c r="AI100" s="36" t="str">
        <x:f>AA93</x:f>
        <x:v>1929-04</x:v>
      </x:c>
      <x:c r="AJ100" s="68" t="n">
        <x:f>'Monthly totals'!I65</x:f>
        <x:v>111.80449358898953</x:v>
      </x:c>
      <x:c r="AK100" s="68" t="n">
        <x:f>'Monthly totals'!J65</x:f>
        <x:v>102.98755270228116</x:v>
      </x:c>
    </x:row>
    <x:row r="101" ht="18" customHeight="1">
      <x:c r="A101" s="70"/>
      <x:c r="B101" s="70"/>
      <x:c r="C101" s="70"/>
      <x:c r="D101" s="70"/>
      <x:c r="E101" s="70"/>
      <x:c r="F101" s="70"/>
      <x:c r="G101" s="70"/>
      <x:c r="H101" s="70"/>
      <x:c r="I101" s="70"/>
      <x:c r="J101" s="70"/>
      <x:c r="K101" s="70"/>
      <x:c r="L101" s="70"/>
      <x:c r="M101" s="70"/>
      <x:c r="N101" s="70"/>
      <x:c r="O101" s="70"/>
      <x:c r="P101" s="70"/>
      <x:c r="Q101" s="70"/>
      <x:c r="R101" s="70"/>
      <x:c r="S101" s="70"/>
      <x:c r="T101" s="70"/>
      <x:c r="U101" s="70"/>
      <x:c r="V101" s="70"/>
      <x:c r="W101" s="70"/>
      <x:c r="X101" s="70"/>
      <x:c r="Y101" s="70"/>
      <x:c r="Z101" s="70"/>
      <x:c r="AA101" s="46" t="str">
        <x:f>YEAR('Monthly totals'!A73)&amp;"-"&amp;IF(MONTH('Monthly totals'!A73)&lt;10,"0","")&amp;MONTH('Monthly totals'!A73)</x:f>
        <x:v>1929-12</x:v>
      </x:c>
      <x:c r="AB101" s="44" t="n">
        <x:f>'Monthly totals'!B73</x:f>
        <x:v>2149.9</x:v>
      </x:c>
      <x:c r="AC101" s="44" t="n">
        <x:f>'Monthly totals'!C73</x:f>
        <x:v>1817.7</x:v>
      </x:c>
      <x:c r="AD101" s="44" t="n">
        <x:f>'Monthly totals'!D73</x:f>
        <x:v>332.20000000000005</x:v>
      </x:c>
      <x:c r="AE101" s="44" t="n">
        <x:f>MAX(AD101,0)</x:f>
        <x:v>332.20000000000005</x:v>
      </x:c>
      <x:c r="AF101" s="44" t="n">
        <x:f>MIN(AD101,0)</x:f>
        <x:v>0</x:v>
      </x:c>
      <x:c r="AI101" s="36" t="str">
        <x:f>AA94</x:f>
        <x:v>1929-05</x:v>
      </x:c>
      <x:c r="AJ101" s="68" t="n">
        <x:f>'Monthly totals'!I66</x:f>
        <x:v>93.84778261381014</x:v>
      </x:c>
      <x:c r="AK101" s="68" t="n">
        <x:f>'Monthly totals'!J66</x:f>
        <x:v>111.72380482798177</x:v>
      </x:c>
    </x:row>
    <x:row r="102" ht="18" customHeight="1">
      <x:c r="A102" s="70"/>
      <x:c r="B102" s="70"/>
      <x:c r="C102" s="70"/>
      <x:c r="D102" s="70"/>
      <x:c r="E102" s="70"/>
      <x:c r="F102" s="70"/>
      <x:c r="G102" s="70"/>
      <x:c r="H102" s="70"/>
      <x:c r="I102" s="70"/>
      <x:c r="J102" s="70"/>
      <x:c r="K102" s="70"/>
      <x:c r="L102" s="70"/>
      <x:c r="M102" s="70"/>
      <x:c r="N102" s="70"/>
      <x:c r="O102" s="70"/>
      <x:c r="P102" s="70"/>
      <x:c r="Q102" s="70"/>
      <x:c r="R102" s="70"/>
      <x:c r="S102" s="70"/>
      <x:c r="T102" s="70"/>
      <x:c r="U102" s="70"/>
      <x:c r="V102" s="70"/>
      <x:c r="W102" s="70"/>
      <x:c r="X102" s="70"/>
      <x:c r="Y102" s="70"/>
      <x:c r="Z102" s="70"/>
      <x:c r="AA102" s="46" t="str">
        <x:f>YEAR('Monthly totals'!A74)&amp;"-"&amp;IF(MONTH('Monthly totals'!A74)&lt;10,"0","")&amp;MONTH('Monthly totals'!A74)</x:f>
        <x:v>1930-01</x:v>
      </x:c>
      <x:c r="AB102" s="44" t="n">
        <x:f>'Monthly totals'!B74</x:f>
        <x:v>1482.7</x:v>
      </x:c>
      <x:c r="AC102" s="44" t="n">
        <x:f>'Monthly totals'!C74</x:f>
        <x:v>1366.5</x:v>
      </x:c>
      <x:c r="AD102" s="44" t="n">
        <x:f>'Monthly totals'!D74</x:f>
        <x:v>116.20000000000005</x:v>
      </x:c>
      <x:c r="AE102" s="44" t="n">
        <x:f>MAX(AD102,0)</x:f>
        <x:v>116.20000000000005</x:v>
      </x:c>
      <x:c r="AF102" s="44" t="n">
        <x:f>MIN(AD102,0)</x:f>
        <x:v>0</x:v>
      </x:c>
      <x:c r="AI102" s="36" t="str">
        <x:f>AA95</x:f>
        <x:v>1929-06</x:v>
      </x:c>
      <x:c r="AJ102" s="68" t="n">
        <x:f>'Monthly totals'!I67</x:f>
        <x:v>96.55922832607928</x:v>
      </x:c>
      <x:c r="AK102" s="68" t="n">
        <x:f>'Monthly totals'!J67</x:f>
        <x:v>105.5293371839121</x:v>
      </x:c>
    </x:row>
    <x:row r="103" ht="18" customHeight="1">
      <x:c r="A103" s="70"/>
      <x:c r="B103" s="70"/>
      <x:c r="C103" s="70"/>
      <x:c r="D103" s="70"/>
      <x:c r="E103" s="70"/>
      <x:c r="F103" s="70"/>
      <x:c r="G103" s="70"/>
      <x:c r="H103" s="70"/>
      <x:c r="I103" s="70"/>
      <x:c r="J103" s="70"/>
      <x:c r="K103" s="70"/>
      <x:c r="L103" s="70"/>
      <x:c r="M103" s="70"/>
      <x:c r="N103" s="70"/>
      <x:c r="O103" s="70"/>
      <x:c r="P103" s="70"/>
      <x:c r="Q103" s="70"/>
      <x:c r="R103" s="70"/>
      <x:c r="S103" s="70"/>
      <x:c r="T103" s="70"/>
      <x:c r="U103" s="70"/>
      <x:c r="V103" s="70"/>
      <x:c r="W103" s="70"/>
      <x:c r="X103" s="70"/>
      <x:c r="Y103" s="70"/>
      <x:c r="Z103" s="70"/>
      <x:c r="AA103" s="46" t="str">
        <x:f>YEAR('Monthly totals'!A75)&amp;"-"&amp;IF(MONTH('Monthly totals'!A75)&lt;10,"0","")&amp;MONTH('Monthly totals'!A75)</x:f>
        <x:v>1930-02</x:v>
      </x:c>
      <x:c r="AB103" s="44" t="n">
        <x:f>'Monthly totals'!B75</x:f>
        <x:v>1335.5</x:v>
      </x:c>
      <x:c r="AC103" s="44" t="n">
        <x:f>'Monthly totals'!C75</x:f>
        <x:v>1223.9</x:v>
      </x:c>
      <x:c r="AD103" s="44" t="n">
        <x:f>'Monthly totals'!D75</x:f>
        <x:v>111.59999999999991</x:v>
      </x:c>
      <x:c r="AE103" s="44" t="n">
        <x:f>MAX(AD103,0)</x:f>
        <x:v>111.59999999999991</x:v>
      </x:c>
      <x:c r="AF103" s="44" t="n">
        <x:f>MIN(AD103,0)</x:f>
        <x:v>0</x:v>
      </x:c>
      <x:c r="AI103" s="36" t="str">
        <x:f>AA96</x:f>
        <x:v>1929-07</x:v>
      </x:c>
      <x:c r="AJ103" s="68" t="n">
        <x:f>'Monthly totals'!I68</x:f>
        <x:v>95.42994941771556</x:v>
      </x:c>
      <x:c r="AK103" s="68" t="n">
        <x:f>'Monthly totals'!J68</x:f>
        <x:v>102.60115316113063</x:v>
      </x:c>
    </x:row>
    <x:row r="104" ht="18" customHeight="1">
      <x:c r="A104" s="70"/>
      <x:c r="B104" s="70"/>
      <x:c r="C104" s="70"/>
      <x:c r="D104" s="70"/>
      <x:c r="E104" s="70"/>
      <x:c r="F104" s="70"/>
      <x:c r="G104" s="70"/>
      <x:c r="H104" s="70"/>
      <x:c r="I104" s="70"/>
      <x:c r="J104" s="70"/>
      <x:c r="K104" s="70"/>
      <x:c r="L104" s="70"/>
      <x:c r="M104" s="70"/>
      <x:c r="N104" s="70"/>
      <x:c r="O104" s="70"/>
      <x:c r="P104" s="70"/>
      <x:c r="Q104" s="70"/>
      <x:c r="R104" s="70"/>
      <x:c r="S104" s="70"/>
      <x:c r="T104" s="70"/>
      <x:c r="U104" s="70"/>
      <x:c r="V104" s="70"/>
      <x:c r="W104" s="70"/>
      <x:c r="X104" s="70"/>
      <x:c r="Y104" s="70"/>
      <x:c r="Z104" s="70"/>
      <x:c r="AA104" s="46" t="str">
        <x:f>YEAR('Monthly totals'!A76)&amp;"-"&amp;IF(MONTH('Monthly totals'!A76)&lt;10,"0","")&amp;MONTH('Monthly totals'!A76)</x:f>
        <x:v>1930-03</x:v>
      </x:c>
      <x:c r="AB104" s="44" t="n">
        <x:f>'Monthly totals'!B76</x:f>
        <x:v>1483.3</x:v>
      </x:c>
      <x:c r="AC104" s="44" t="n">
        <x:f>'Monthly totals'!C76</x:f>
        <x:v>1344.6</x:v>
      </x:c>
      <x:c r="AD104" s="44" t="n">
        <x:f>'Monthly totals'!D76</x:f>
        <x:v>138.70000000000005</x:v>
      </x:c>
      <x:c r="AE104" s="44" t="n">
        <x:f>MAX(AD104,0)</x:f>
        <x:v>138.70000000000005</x:v>
      </x:c>
      <x:c r="AF104" s="44" t="n">
        <x:f>MIN(AD104,0)</x:f>
        <x:v>0</x:v>
      </x:c>
      <x:c r="AI104" s="36" t="str">
        <x:f>AA97</x:f>
        <x:v>1929-08</x:v>
      </x:c>
      <x:c r="AJ104" s="68" t="n">
        <x:f>'Monthly totals'!I69</x:f>
        <x:v>103.24079520056463</x:v>
      </x:c>
      <x:c r="AK104" s="68" t="n">
        <x:f>'Monthly totals'!J69</x:f>
        <x:v>93.05587699614607</x:v>
      </x:c>
    </x:row>
    <x:row r="105" ht="18" customHeight="1">
      <x:c r="A105" s="70"/>
      <x:c r="B105" s="70"/>
      <x:c r="C105" s="70"/>
      <x:c r="D105" s="70"/>
      <x:c r="E105" s="70"/>
      <x:c r="F105" s="70"/>
      <x:c r="G105" s="70"/>
      <x:c r="H105" s="70"/>
      <x:c r="I105" s="70"/>
      <x:c r="J105" s="70"/>
      <x:c r="K105" s="70"/>
      <x:c r="L105" s="70"/>
      <x:c r="M105" s="70"/>
      <x:c r="N105" s="70"/>
      <x:c r="O105" s="70"/>
      <x:c r="P105" s="70"/>
      <x:c r="Q105" s="70"/>
      <x:c r="R105" s="70"/>
      <x:c r="S105" s="70"/>
      <x:c r="T105" s="70"/>
      <x:c r="U105" s="70"/>
      <x:c r="V105" s="70"/>
      <x:c r="W105" s="70"/>
      <x:c r="X105" s="70"/>
      <x:c r="Y105" s="70"/>
      <x:c r="Z105" s="70"/>
      <x:c r="AA105" s="46" t="str">
        <x:f>YEAR('Monthly totals'!A77)&amp;"-"&amp;IF(MONTH('Monthly totals'!A77)&lt;10,"0","")&amp;MONTH('Monthly totals'!A77)</x:f>
        <x:v>1930-04</x:v>
      </x:c>
      <x:c r="AB105" s="44" t="n">
        <x:f>'Monthly totals'!B77</x:f>
        <x:v>1414.2</x:v>
      </x:c>
      <x:c r="AC105" s="44" t="n">
        <x:f>'Monthly totals'!C77</x:f>
        <x:v>1451</x:v>
      </x:c>
      <x:c r="AD105" s="44" t="n">
        <x:f>'Monthly totals'!D77</x:f>
        <x:v>-36.799999999999955</x:v>
      </x:c>
      <x:c r="AE105" s="44" t="n">
        <x:f>MAX(AD105,0)</x:f>
        <x:v>0</x:v>
      </x:c>
      <x:c r="AF105" s="44" t="n">
        <x:f>MIN(AD105,0)</x:f>
        <x:v>-36.799999999999955</x:v>
      </x:c>
      <x:c r="AI105" s="36" t="str">
        <x:f>AA98</x:f>
        <x:v>1929-09</x:v>
      </x:c>
      <x:c r="AJ105" s="68" t="n">
        <x:f>'Monthly totals'!I70</x:f>
        <x:v>101.94682978473121</x:v>
      </x:c>
      <x:c r="AK105" s="68" t="n">
        <x:f>'Monthly totals'!J70</x:f>
        <x:v>93.93735094939575</x:v>
      </x:c>
    </x:row>
    <x:row r="106" ht="18" customHeight="1">
      <x:c r="A106" s="70"/>
      <x:c r="B106" s="70"/>
      <x:c r="C106" s="70"/>
      <x:c r="D106" s="70"/>
      <x:c r="E106" s="70"/>
      <x:c r="F106" s="70"/>
      <x:c r="G106" s="70"/>
      <x:c r="H106" s="70"/>
      <x:c r="I106" s="70"/>
      <x:c r="J106" s="70"/>
      <x:c r="K106" s="70"/>
      <x:c r="L106" s="70"/>
      <x:c r="M106" s="70"/>
      <x:c r="N106" s="70"/>
      <x:c r="O106" s="70"/>
      <x:c r="P106" s="70"/>
      <x:c r="Q106" s="70"/>
      <x:c r="R106" s="70"/>
      <x:c r="S106" s="70"/>
      <x:c r="T106" s="70"/>
      <x:c r="U106" s="70"/>
      <x:c r="V106" s="70"/>
      <x:c r="W106" s="70"/>
      <x:c r="X106" s="70"/>
      <x:c r="Y106" s="70"/>
      <x:c r="Z106" s="70"/>
      <x:c r="AA106" s="46" t="str">
        <x:f>YEAR('Monthly totals'!A78)&amp;"-"&amp;IF(MONTH('Monthly totals'!A78)&lt;10,"0","")&amp;MONTH('Monthly totals'!A78)</x:f>
        <x:v>1930-05</x:v>
      </x:c>
      <x:c r="AB106" s="44" t="n">
        <x:f>'Monthly totals'!B78</x:f>
        <x:v>1527.4</x:v>
      </x:c>
      <x:c r="AC106" s="44" t="n">
        <x:f>'Monthly totals'!C78</x:f>
        <x:v>1603</x:v>
      </x:c>
      <x:c r="AD106" s="44" t="n">
        <x:f>'Monthly totals'!D78</x:f>
        <x:v>-75.59999999999991</x:v>
      </x:c>
      <x:c r="AE106" s="44" t="n">
        <x:f>MAX(AD106,0)</x:f>
        <x:v>0</x:v>
      </x:c>
      <x:c r="AF106" s="44" t="n">
        <x:f>MIN(AD106,0)</x:f>
        <x:v>-75.59999999999991</x:v>
      </x:c>
      <x:c r="AI106" s="36" t="str">
        <x:f>AA99</x:f>
        <x:v>1929-10</x:v>
      </x:c>
      <x:c r="AJ106" s="68" t="n">
        <x:f>'Monthly totals'!I71</x:f>
        <x:v>112.18091989177744</x:v>
      </x:c>
      <x:c r="AK106" s="68" t="n">
        <x:f>'Monthly totals'!J71</x:f>
        <x:v>97.79530886807072</x:v>
      </x:c>
    </x:row>
    <x:row r="107" ht="18" customHeight="1">
      <x:c r="A107" s="70"/>
      <x:c r="B107" s="70"/>
      <x:c r="C107" s="70"/>
      <x:c r="D107" s="70"/>
      <x:c r="E107" s="70"/>
      <x:c r="F107" s="70"/>
      <x:c r="G107" s="70"/>
      <x:c r="H107" s="70"/>
      <x:c r="I107" s="70"/>
      <x:c r="J107" s="70"/>
      <x:c r="K107" s="70"/>
      <x:c r="L107" s="70"/>
      <x:c r="M107" s="70"/>
      <x:c r="N107" s="70"/>
      <x:c r="O107" s="70"/>
      <x:c r="P107" s="70"/>
      <x:c r="Q107" s="70"/>
      <x:c r="R107" s="70"/>
      <x:c r="S107" s="70"/>
      <x:c r="T107" s="70"/>
      <x:c r="U107" s="70"/>
      <x:c r="V107" s="70"/>
      <x:c r="W107" s="70"/>
      <x:c r="X107" s="70"/>
      <x:c r="Y107" s="70"/>
      <x:c r="Z107" s="70"/>
      <x:c r="AA107" s="46" t="str">
        <x:f>YEAR('Monthly totals'!A79)&amp;"-"&amp;IF(MONTH('Monthly totals'!A79)&lt;10,"0","")&amp;MONTH('Monthly totals'!A79)</x:f>
        <x:v>1930-06</x:v>
      </x:c>
      <x:c r="AB107" s="44" t="n">
        <x:f>'Monthly totals'!B79</x:f>
        <x:v>1204.1</x:v>
      </x:c>
      <x:c r="AC107" s="44" t="n">
        <x:f>'Monthly totals'!C79</x:f>
        <x:v>1148.3</x:v>
      </x:c>
      <x:c r="AD107" s="44" t="n">
        <x:f>'Monthly totals'!D79</x:f>
        <x:v>55.799999999999955</x:v>
      </x:c>
      <x:c r="AE107" s="44" t="n">
        <x:f>MAX(AD107,0)</x:f>
        <x:v>55.799999999999955</x:v>
      </x:c>
      <x:c r="AF107" s="44" t="n">
        <x:f>MIN(AD107,0)</x:f>
        <x:v>0</x:v>
      </x:c>
      <x:c r="AI107" s="36" t="str">
        <x:f>AA100</x:f>
        <x:v>1929-11</x:v>
      </x:c>
      <x:c r="AJ107" s="68" t="n">
        <x:f>'Monthly totals'!I72</x:f>
        <x:v>116.81566874485354</x:v>
      </x:c>
      <x:c r="AK107" s="68" t="n">
        <x:f>'Monthly totals'!J72</x:f>
        <x:v>106.69457330019421</x:v>
      </x:c>
    </x:row>
    <x:row r="108" ht="18" customHeight="1">
      <x:c r="A108" s="70"/>
      <x:c r="B108" s="70"/>
      <x:c r="C108" s="70"/>
      <x:c r="D108" s="70"/>
      <x:c r="E108" s="70"/>
      <x:c r="F108" s="70"/>
      <x:c r="G108" s="70"/>
      <x:c r="H108" s="70"/>
      <x:c r="I108" s="70"/>
      <x:c r="J108" s="70"/>
      <x:c r="K108" s="70"/>
      <x:c r="L108" s="70"/>
      <x:c r="M108" s="70"/>
      <x:c r="N108" s="70"/>
      <x:c r="O108" s="70"/>
      <x:c r="P108" s="70"/>
      <x:c r="Q108" s="70"/>
      <x:c r="R108" s="70"/>
      <x:c r="S108" s="70"/>
      <x:c r="T108" s="70"/>
      <x:c r="U108" s="70"/>
      <x:c r="V108" s="70"/>
      <x:c r="W108" s="70"/>
      <x:c r="X108" s="70"/>
      <x:c r="Y108" s="70"/>
      <x:c r="Z108" s="70"/>
      <x:c r="AA108" s="46" t="str">
        <x:f>YEAR('Monthly totals'!A80)&amp;"-"&amp;IF(MONTH('Monthly totals'!A80)&lt;10,"0","")&amp;MONTH('Monthly totals'!A80)</x:f>
        <x:v>1930-07</x:v>
      </x:c>
      <x:c r="AB108" s="44" t="n">
        <x:f>'Monthly totals'!B80</x:f>
        <x:v>1422.3</x:v>
      </x:c>
      <x:c r="AC108" s="44" t="n">
        <x:f>'Monthly totals'!C80</x:f>
        <x:v>1209.1</x:v>
      </x:c>
      <x:c r="AD108" s="44" t="n">
        <x:f>'Monthly totals'!D80</x:f>
        <x:v>213.20000000000005</x:v>
      </x:c>
      <x:c r="AE108" s="44" t="n">
        <x:f>MAX(AD108,0)</x:f>
        <x:v>213.20000000000005</x:v>
      </x:c>
      <x:c r="AF108" s="44" t="n">
        <x:f>MIN(AD108,0)</x:f>
        <x:v>0</x:v>
      </x:c>
      <x:c r="AI108" s="36" t="str">
        <x:f>AA101</x:f>
        <x:v>1929-12</x:v>
      </x:c>
      <x:c r="AJ108" s="68" t="n">
        <x:f>'Monthly totals'!I73</x:f>
        <x:v>126.44982943183155</x:v>
      </x:c>
      <x:c r="AK108" s="68" t="n">
        <x:f>'Monthly totals'!J73</x:f>
        <x:v>109.74350717958522</x:v>
      </x:c>
    </x:row>
    <x:row r="109" ht="18" customHeight="1">
      <x:c r="A109" s="70"/>
      <x:c r="B109" s="71" t="str">
        <x:v>Export share by partner</x:v>
      </x:c>
      <x:c r="C109" s="70"/>
      <x:c r="D109" s="70"/>
      <x:c r="E109" s="70"/>
      <x:c r="F109" s="70"/>
      <x:c r="G109" s="70"/>
      <x:c r="H109" s="70"/>
      <x:c r="I109" s="70"/>
      <x:c r="J109" s="70"/>
      <x:c r="K109" s="70"/>
      <x:c r="L109" s="70"/>
      <x:c r="M109" s="70"/>
      <x:c r="N109" s="70"/>
      <x:c r="O109" s="70"/>
      <x:c r="P109" s="70"/>
      <x:c r="Q109" s="70"/>
      <x:c r="R109" s="70"/>
      <x:c r="S109" s="70"/>
      <x:c r="T109" s="70"/>
      <x:c r="U109" s="70"/>
      <x:c r="V109" s="70"/>
      <x:c r="W109" s="70"/>
      <x:c r="X109" s="70"/>
      <x:c r="Y109" s="70"/>
      <x:c r="Z109" s="70"/>
      <x:c r="AA109" s="46" t="str">
        <x:f>YEAR('Monthly totals'!A81)&amp;"-"&amp;IF(MONTH('Monthly totals'!A81)&lt;10,"0","")&amp;MONTH('Monthly totals'!A81)</x:f>
        <x:v>1930-08</x:v>
      </x:c>
      <x:c r="AB109" s="44" t="n">
        <x:f>'Monthly totals'!B81</x:f>
        <x:v>1341.1</x:v>
      </x:c>
      <x:c r="AC109" s="44" t="n">
        <x:f>'Monthly totals'!C81</x:f>
        <x:v>1159.4</x:v>
      </x:c>
      <x:c r="AD109" s="44" t="n">
        <x:f>'Monthly totals'!D81</x:f>
        <x:v>181.69999999999982</x:v>
      </x:c>
      <x:c r="AE109" s="44" t="n">
        <x:f>MAX(AD109,0)</x:f>
        <x:v>181.69999999999982</x:v>
      </x:c>
      <x:c r="AF109" s="44" t="n">
        <x:f>MIN(AD109,0)</x:f>
        <x:v>0</x:v>
      </x:c>
      <x:c r="AI109" s="36" t="str">
        <x:f>AA102</x:f>
        <x:v>1930-01</x:v>
      </x:c>
      <x:c r="AJ109" s="68" t="n">
        <x:f>'Monthly totals'!I74</x:f>
        <x:v>87.20738736619221</x:v>
      </x:c>
      <x:c r="AK109" s="68" t="n">
        <x:f>'Monthly totals'!J74</x:f>
        <x:v>82.50233952847181</x:v>
      </x:c>
    </x:row>
    <x:row r="110" ht="18" customHeight="1">
      <x:c r="A110" s="70"/>
      <x:c r="B110" s="72" t="str">
        <x:v>Percent of the published national total. Darker cells indicate larger shares; scale 0–45%.</x:v>
      </x:c>
      <x:c r="C110" s="70"/>
      <x:c r="D110" s="70"/>
      <x:c r="E110" s="70"/>
      <x:c r="F110" s="70"/>
      <x:c r="G110" s="70"/>
      <x:c r="H110" s="70"/>
      <x:c r="I110" s="70"/>
      <x:c r="J110" s="70"/>
      <x:c r="K110" s="70"/>
      <x:c r="L110" s="70"/>
      <x:c r="M110" s="70"/>
      <x:c r="N110" s="70"/>
      <x:c r="O110" s="70"/>
      <x:c r="P110" s="70"/>
      <x:c r="Q110" s="70"/>
      <x:c r="R110" s="70"/>
      <x:c r="S110" s="70"/>
      <x:c r="T110" s="70"/>
      <x:c r="U110" s="70"/>
      <x:c r="V110" s="70"/>
      <x:c r="W110" s="70"/>
      <x:c r="X110" s="70"/>
      <x:c r="Y110" s="70"/>
      <x:c r="Z110" s="70"/>
      <x:c r="AA110" s="46" t="str">
        <x:f>YEAR('Monthly totals'!A82)&amp;"-"&amp;IF(MONTH('Monthly totals'!A82)&lt;10,"0","")&amp;MONTH('Monthly totals'!A82)</x:f>
        <x:v>1930-09</x:v>
      </x:c>
      <x:c r="AB110" s="44" t="n">
        <x:f>'Monthly totals'!B82</x:f>
        <x:v>1516.7</x:v>
      </x:c>
      <x:c r="AC110" s="44" t="n">
        <x:f>'Monthly totals'!C82</x:f>
        <x:v>1262.4</x:v>
      </x:c>
      <x:c r="AD110" s="44" t="n">
        <x:f>'Monthly totals'!D82</x:f>
        <x:v>254.29999999999995</x:v>
      </x:c>
      <x:c r="AE110" s="44" t="n">
        <x:f>MAX(AD110,0)</x:f>
        <x:v>254.29999999999995</x:v>
      </x:c>
      <x:c r="AF110" s="44" t="n">
        <x:f>MIN(AD110,0)</x:f>
        <x:v>0</x:v>
      </x:c>
      <x:c r="AI110" s="36" t="str">
        <x:f>AA103</x:f>
        <x:v>1930-02</x:v>
      </x:c>
      <x:c r="AJ110" s="68" t="n">
        <x:f>'Monthly totals'!I75</x:f>
        <x:v>78.54958240207034</x:v>
      </x:c>
      <x:c r="AK110" s="68" t="n">
        <x:f>'Monthly totals'!J75</x:f>
        <x:v>73.89287475221124</x:v>
      </x:c>
    </x:row>
    <x:row r="111" ht="18" customHeight="1">
      <x:c r="A111" s="70"/>
      <x:c r="B111" s="70"/>
      <x:c r="C111" s="70"/>
      <x:c r="D111" s="70"/>
      <x:c r="E111" s="70"/>
      <x:c r="F111" s="70"/>
      <x:c r="G111" s="70"/>
      <x:c r="H111" s="70"/>
      <x:c r="I111" s="70"/>
      <x:c r="J111" s="70"/>
      <x:c r="K111" s="70"/>
      <x:c r="L111" s="70"/>
      <x:c r="M111" s="70"/>
      <x:c r="N111" s="70"/>
      <x:c r="O111" s="70"/>
      <x:c r="P111" s="70"/>
      <x:c r="Q111" s="70"/>
      <x:c r="R111" s="70"/>
      <x:c r="S111" s="70"/>
      <x:c r="T111" s="70"/>
      <x:c r="U111" s="70"/>
      <x:c r="V111" s="70"/>
      <x:c r="W111" s="70"/>
      <x:c r="X111" s="70"/>
      <x:c r="Y111" s="70"/>
      <x:c r="Z111" s="70"/>
      <x:c r="AA111" s="46" t="str">
        <x:f>YEAR('Monthly totals'!A83)&amp;"-"&amp;IF(MONTH('Monthly totals'!A83)&lt;10,"0","")&amp;MONTH('Monthly totals'!A83)</x:f>
        <x:v>1930-10</x:v>
      </x:c>
      <x:c r="AB111" s="44" t="n">
        <x:f>'Monthly totals'!B83</x:f>
        <x:v>1699.8</x:v>
      </x:c>
      <x:c r="AC111" s="44" t="n">
        <x:f>'Monthly totals'!C83</x:f>
        <x:v>1260</x:v>
      </x:c>
      <x:c r="AD111" s="44" t="n">
        <x:f>'Monthly totals'!D83</x:f>
        <x:v>439.79999999999995</x:v>
      </x:c>
      <x:c r="AE111" s="44" t="n">
        <x:f>MAX(AD111,0)</x:f>
        <x:v>439.79999999999995</x:v>
      </x:c>
      <x:c r="AF111" s="44" t="n">
        <x:f>MIN(AD111,0)</x:f>
        <x:v>0</x:v>
      </x:c>
      <x:c r="AI111" s="36" t="str">
        <x:f>AA104</x:f>
        <x:v>1930-03</x:v>
      </x:c>
      <x:c r="AJ111" s="68" t="n">
        <x:f>'Monthly totals'!I76</x:f>
        <x:v>87.24267733207857</x:v>
      </x:c>
      <x:c r="AK111" s="68" t="n">
        <x:f>'Monthly totals'!J76</x:f>
        <x:v>81.18012859859729</x:v>
      </x:c>
    </x:row>
    <x:row r="112" ht="18" customHeight="1">
      <x:c r="A112" s="70"/>
      <x:c r="B112" s="66" t="str">
        <x:v>Partner</x:v>
      </x:c>
      <x:c r="C112" s="66"/>
      <x:c r="D112" s="66"/>
      <x:c r="E112" s="66"/>
      <x:c r="F112" s="66"/>
      <x:c r="G112" s="75" t="n">
        <x:v>1920</x:v>
      </x:c>
      <x:c r="H112" s="75" t="n">
        <x:v>1921</x:v>
      </x:c>
      <x:c r="I112" s="75" t="n">
        <x:v>1922</x:v>
      </x:c>
      <x:c r="J112" s="75" t="n">
        <x:v>1923</x:v>
      </x:c>
      <x:c r="K112" s="75" t="n">
        <x:v>1924</x:v>
      </x:c>
      <x:c r="L112" s="75" t="n">
        <x:v>1925</x:v>
      </x:c>
      <x:c r="M112" s="75" t="n">
        <x:v>1926</x:v>
      </x:c>
      <x:c r="N112" s="75" t="n">
        <x:v>1927</x:v>
      </x:c>
      <x:c r="O112" s="75" t="n">
        <x:v>1928</x:v>
      </x:c>
      <x:c r="P112" s="75" t="n">
        <x:v>1929</x:v>
      </x:c>
      <x:c r="Q112" s="75" t="n">
        <x:v>1930</x:v>
      </x:c>
      <x:c r="R112" s="75" t="n">
        <x:v>1931</x:v>
      </x:c>
      <x:c r="S112" s="75" t="n">
        <x:v>1932</x:v>
      </x:c>
      <x:c r="T112" s="75" t="n">
        <x:v>1933</x:v>
      </x:c>
      <x:c r="U112" s="75" t="n">
        <x:v>1934</x:v>
      </x:c>
      <x:c r="V112" s="75" t="n">
        <x:v>1935</x:v>
      </x:c>
      <x:c r="W112" s="75" t="n">
        <x:v>1936</x:v>
      </x:c>
      <x:c r="X112" s="75" t="n">
        <x:v>1937</x:v>
      </x:c>
      <x:c r="Y112" s="75" t="n">
        <x:v>1938</x:v>
      </x:c>
      <x:c r="Z112" s="70"/>
      <x:c r="AA112" s="46" t="str">
        <x:f>YEAR('Monthly totals'!A84)&amp;"-"&amp;IF(MONTH('Monthly totals'!A84)&lt;10,"0","")&amp;MONTH('Monthly totals'!A84)</x:f>
        <x:v>1930-11</x:v>
      </x:c>
      <x:c r="AB112" s="44" t="n">
        <x:f>'Monthly totals'!B84</x:f>
        <x:v>1607.6</x:v>
      </x:c>
      <x:c r="AC112" s="44" t="n">
        <x:f>'Monthly totals'!C84</x:f>
        <x:v>1371.3</x:v>
      </x:c>
      <x:c r="AD112" s="44" t="n">
        <x:f>'Monthly totals'!D84</x:f>
        <x:v>236.29999999999995</x:v>
      </x:c>
      <x:c r="AE112" s="44" t="n">
        <x:f>MAX(AD112,0)</x:f>
        <x:v>236.29999999999995</x:v>
      </x:c>
      <x:c r="AF112" s="44" t="n">
        <x:f>MIN(AD112,0)</x:f>
        <x:v>0</x:v>
      </x:c>
      <x:c r="AI112" s="36" t="str">
        <x:f>AA105</x:f>
        <x:v>1930-04</x:v>
      </x:c>
      <x:c r="AJ112" s="68" t="n">
        <x:f>'Monthly totals'!I77</x:f>
        <x:v>83.17844959416539</x:v>
      </x:c>
      <x:c r="AK112" s="68" t="n">
        <x:f>'Monthly totals'!J77</x:f>
        <x:v>87.60402097022511</x:v>
      </x:c>
    </x:row>
    <x:row r="113" ht="18" customHeight="1">
      <x:c r="A113" s="70"/>
      <x:c r="B113" s="73" t="str">
        <x:v>Austria</x:v>
      </x:c>
      <x:c r="C113" s="73"/>
      <x:c r="D113" s="73"/>
      <x:c r="E113" s="73"/>
      <x:c r="F113" s="73"/>
      <x:c r="G113" s="78" t="n">
        <x:f>SUMIFS('Annual partners'!$F$2:$F$286,'Annual partners'!$A$2:$A$286,G$112,'Annual partners'!$B$2:$B$286,$B113)</x:f>
        <x:v>33.94399202738778</x:v>
      </x:c>
      <x:c r="H113" s="78" t="n">
        <x:f>SUMIFS('Annual partners'!$F$2:$F$286,'Annual partners'!$A$2:$A$286,H$112,'Annual partners'!$B$2:$B$286,$B113)</x:f>
        <x:v>26.58700703286082</x:v>
      </x:c>
      <x:c r="I113" s="78" t="n">
        <x:f>SUMIFS('Annual partners'!$F$2:$F$286,'Annual partners'!$A$2:$A$286,I$112,'Annual partners'!$B$2:$B$286,$B113)</x:f>
        <x:v>20.21609781025891</x:v>
      </x:c>
      <x:c r="J113" s="78" t="n">
        <x:f>SUMIFS('Annual partners'!$F$2:$F$286,'Annual partners'!$A$2:$A$286,J$112,'Annual partners'!$B$2:$B$286,$B113)</x:f>
        <x:v>18.981061518202974</x:v>
      </x:c>
      <x:c r="K113" s="78" t="n">
        <x:f>SUMIFS('Annual partners'!$F$2:$F$286,'Annual partners'!$A$2:$A$286,K$112,'Annual partners'!$B$2:$B$286,$B113)</x:f>
        <x:v>20.684939427514806</x:v>
      </x:c>
      <x:c r="L113" s="78" t="n">
        <x:f>SUMIFS('Annual partners'!$F$2:$F$286,'Annual partners'!$A$2:$A$286,L$112,'Annual partners'!$B$2:$B$286,$B113)</x:f>
        <x:v>17.281098816765297</x:v>
      </x:c>
      <x:c r="M113" s="78" t="n">
        <x:f>SUMIFS('Annual partners'!$F$2:$F$286,'Annual partners'!$A$2:$A$286,M$112,'Annual partners'!$B$2:$B$286,$B113)</x:f>
        <x:v>16.264382180239764</x:v>
      </x:c>
      <x:c r="N113" s="78" t="n">
        <x:f>SUMIFS('Annual partners'!$F$2:$F$286,'Annual partners'!$A$2:$A$286,N$112,'Annual partners'!$B$2:$B$286,$B113)</x:f>
        <x:v>15.243293937782731</x:v>
      </x:c>
      <x:c r="O113" s="78" t="n">
        <x:f>SUMIFS('Annual partners'!$F$2:$F$286,'Annual partners'!$A$2:$A$286,O$112,'Annual partners'!$B$2:$B$286,$B113)</x:f>
        <x:v>14.722436560774861</x:v>
      </x:c>
      <x:c r="P113" s="78" t="n">
        <x:f>SUMIFS('Annual partners'!$F$2:$F$286,'Annual partners'!$A$2:$A$286,P$112,'Annual partners'!$B$2:$B$286,$B113)</x:f>
        <x:v>14.996115151523728</x:v>
      </x:c>
      <x:c r="Q113" s="78" t="n">
        <x:f>SUMIFS('Annual partners'!$F$2:$F$286,'Annual partners'!$A$2:$A$286,Q$112,'Annual partners'!$B$2:$B$286,$B113)</x:f>
        <x:v>13.958844052318073</x:v>
      </x:c>
      <x:c r="R113" s="78" t="n">
        <x:f>SUMIFS('Annual partners'!$F$2:$F$286,'Annual partners'!$A$2:$A$286,R$112,'Annual partners'!$B$2:$B$286,$B113)</x:f>
        <x:v>13.661839751842537</x:v>
      </x:c>
      <x:c r="S113" s="78" t="n">
        <x:f>SUMIFS('Annual partners'!$F$2:$F$286,'Annual partners'!$A$2:$A$286,S$112,'Annual partners'!$B$2:$B$286,$B113)</x:f>
        <x:v>13.950383460792839</x:v>
      </x:c>
      <x:c r="T113" s="78" t="n">
        <x:f>SUMIFS('Annual partners'!$F$2:$F$286,'Annual partners'!$A$2:$A$286,T$112,'Annual partners'!$B$2:$B$286,$B113)</x:f>
        <x:v>12.169967936980829</x:v>
      </x:c>
      <x:c r="U113" s="78" t="n">
        <x:f>SUMIFS('Annual partners'!$F$2:$F$286,'Annual partners'!$A$2:$A$286,U$112,'Annual partners'!$B$2:$B$286,$B113)</x:f>
        <x:v>10.557884413538762</x:v>
      </x:c>
      <x:c r="V113" s="78" t="n">
        <x:f>SUMIFS('Annual partners'!$F$2:$F$286,'Annual partners'!$A$2:$A$286,V$112,'Annual partners'!$B$2:$B$286,$B113)</x:f>
        <x:v>9.484500951281477</x:v>
      </x:c>
      <x:c r="W113" s="78" t="n">
        <x:f>SUMIFS('Annual partners'!$F$2:$F$286,'Annual partners'!$A$2:$A$286,W$112,'Annual partners'!$B$2:$B$286,$B113)</x:f>
        <x:v>8.910741767923021</x:v>
      </x:c>
      <x:c r="X113" s="78" t="n">
        <x:f>SUMIFS('Annual partners'!$F$2:$F$286,'Annual partners'!$A$2:$A$286,X$112,'Annual partners'!$B$2:$B$286,$B113)</x:f>
        <x:v>7.319738809420406</x:v>
      </x:c>
      <x:c r="Y113" s="78" t="n">
        <x:f>SUMIFS('Annual partners'!$F$2:$F$286,'Annual partners'!$A$2:$A$286,Y$112,'Annual partners'!$B$2:$B$286,$B113)</x:f>
        <x:v>5.217639059363249</x:v>
      </x:c>
      <x:c r="Z113" s="70"/>
      <x:c r="AA113" s="46" t="str">
        <x:f>YEAR('Monthly totals'!A85)&amp;"-"&amp;IF(MONTH('Monthly totals'!A85)&lt;10,"0","")&amp;MONTH('Monthly totals'!A85)</x:f>
        <x:v>1930-12</x:v>
      </x:c>
      <x:c r="AB113" s="44" t="n">
        <x:f>'Monthly totals'!B85</x:f>
        <x:v>1443.7</x:v>
      </x:c>
      <x:c r="AC113" s="44" t="n">
        <x:f>'Monthly totals'!C85</x:f>
        <x:v>1283.3</x:v>
      </x:c>
      <x:c r="AD113" s="44" t="n">
        <x:f>'Monthly totals'!D85</x:f>
        <x:v>160.4000000000001</x:v>
      </x:c>
      <x:c r="AE113" s="44" t="n">
        <x:f>MAX(AD113,0)</x:f>
        <x:v>160.4000000000001</x:v>
      </x:c>
      <x:c r="AF113" s="44" t="n">
        <x:f>MIN(AD113,0)</x:f>
        <x:v>0</x:v>
      </x:c>
      <x:c r="AI113" s="36" t="str">
        <x:f>AA106</x:f>
        <x:v>1930-05</x:v>
      </x:c>
      <x:c r="AJ113" s="68" t="n">
        <x:f>'Monthly totals'!I78</x:f>
        <x:v>89.8364898247265</x:v>
      </x:c>
      <x:c r="AK113" s="68" t="n">
        <x:f>'Monthly totals'!J78</x:f>
        <x:v>96.78101007255054</x:v>
      </x:c>
    </x:row>
    <x:row r="114" ht="18" customHeight="1">
      <x:c r="A114" s="70"/>
      <x:c r="B114" s="73" t="str">
        <x:v>Belgium and Luxembourg</x:v>
      </x:c>
      <x:c r="C114" s="73"/>
      <x:c r="D114" s="73"/>
      <x:c r="E114" s="73"/>
      <x:c r="F114" s="73"/>
      <x:c r="G114" s="78" t="n">
        <x:f>SUMIFS('Annual partners'!$F$2:$F$286,'Annual partners'!$A$2:$A$286,G$112,'Annual partners'!$B$2:$B$286,$B114)</x:f>
        <x:v>0.4734413600265885</x:v>
      </x:c>
      <x:c r="H114" s="78" t="n">
        <x:f>SUMIFS('Annual partners'!$F$2:$F$286,'Annual partners'!$A$2:$A$286,H$112,'Annual partners'!$B$2:$B$286,$B114)</x:f>
        <x:v>0.9980311628780748</x:v>
      </x:c>
      <x:c r="I114" s="78" t="n">
        <x:f>SUMIFS('Annual partners'!$F$2:$F$286,'Annual partners'!$A$2:$A$286,I$112,'Annual partners'!$B$2:$B$286,$B114)</x:f>
        <x:v>1.5025822257562051</x:v>
      </x:c>
      <x:c r="J114" s="78" t="n">
        <x:f>SUMIFS('Annual partners'!$F$2:$F$286,'Annual partners'!$A$2:$A$286,J$112,'Annual partners'!$B$2:$B$286,$B114)</x:f>
        <x:v>0.6976744855118183</x:v>
      </x:c>
      <x:c r="K114" s="78" t="n">
        <x:f>SUMIFS('Annual partners'!$F$2:$F$286,'Annual partners'!$A$2:$A$286,K$112,'Annual partners'!$B$2:$B$286,$B114)</x:f>
        <x:v>0.5949913048582728</x:v>
      </x:c>
      <x:c r="L114" s="78" t="n">
        <x:f>SUMIFS('Annual partners'!$F$2:$F$286,'Annual partners'!$A$2:$A$286,L$112,'Annual partners'!$B$2:$B$286,$B114)</x:f>
        <x:v>0.45499953828460143</x:v>
      </x:c>
      <x:c r="M114" s="78" t="n">
        <x:f>SUMIFS('Annual partners'!$F$2:$F$286,'Annual partners'!$A$2:$A$286,M$112,'Annual partners'!$B$2:$B$286,$B114)</x:f>
        <x:v>0.509543860046048</x:v>
      </x:c>
      <x:c r="N114" s="78" t="n">
        <x:f>SUMIFS('Annual partners'!$F$2:$F$286,'Annual partners'!$A$2:$A$286,N$112,'Annual partners'!$B$2:$B$286,$B114)</x:f>
        <x:v>0.6402095648478072</x:v>
      </x:c>
      <x:c r="O114" s="78" t="n">
        <x:f>SUMIFS('Annual partners'!$F$2:$F$286,'Annual partners'!$A$2:$A$286,O$112,'Annual partners'!$B$2:$B$286,$B114)</x:f>
        <x:v>0.7567112859931518</x:v>
      </x:c>
      <x:c r="P114" s="78" t="n">
        <x:f>SUMIFS('Annual partners'!$F$2:$F$286,'Annual partners'!$A$2:$A$286,P$112,'Annual partners'!$B$2:$B$286,$B114)</x:f>
        <x:v>0.919099487879063</x:v>
      </x:c>
      <x:c r="Q114" s="78" t="n">
        <x:f>SUMIFS('Annual partners'!$F$2:$F$286,'Annual partners'!$A$2:$A$286,Q$112,'Annual partners'!$B$2:$B$286,$B114)</x:f>
        <x:v>1.3940410668997327</x:v>
      </x:c>
      <x:c r="R114" s="78" t="n">
        <x:f>SUMIFS('Annual partners'!$F$2:$F$286,'Annual partners'!$A$2:$A$286,R$112,'Annual partners'!$B$2:$B$286,$B114)</x:f>
        <x:v>1.7062764798344685</x:v>
      </x:c>
      <x:c r="S114" s="78" t="n">
        <x:f>SUMIFS('Annual partners'!$F$2:$F$286,'Annual partners'!$A$2:$A$286,S$112,'Annual partners'!$B$2:$B$286,$B114)</x:f>
        <x:v>2.4636324404178094</x:v>
      </x:c>
      <x:c r="T114" s="78" t="n">
        <x:f>SUMIFS('Annual partners'!$F$2:$F$286,'Annual partners'!$A$2:$A$286,T$112,'Annual partners'!$B$2:$B$286,$B114)</x:f>
        <x:v>2.492055154943683</x:v>
      </x:c>
      <x:c r="U114" s="78" t="n">
        <x:f>SUMIFS('Annual partners'!$F$2:$F$286,'Annual partners'!$A$2:$A$286,U$112,'Annual partners'!$B$2:$B$286,$B114)</x:f>
        <x:v>2.1535772864100124</x:v>
      </x:c>
      <x:c r="V114" s="78" t="n">
        <x:f>SUMIFS('Annual partners'!$F$2:$F$286,'Annual partners'!$A$2:$A$286,V$112,'Annual partners'!$B$2:$B$286,$B114)</x:f>
        <x:v>1.958058044340451</x:v>
      </x:c>
      <x:c r="W114" s="78" t="n">
        <x:f>SUMIFS('Annual partners'!$F$2:$F$286,'Annual partners'!$A$2:$A$286,W$112,'Annual partners'!$B$2:$B$286,$B114)</x:f>
        <x:v>2.392872003870405</x:v>
      </x:c>
      <x:c r="X114" s="78" t="n">
        <x:f>SUMIFS('Annual partners'!$F$2:$F$286,'Annual partners'!$A$2:$A$286,X$112,'Annual partners'!$B$2:$B$286,$B114)</x:f>
        <x:v>2.1330808798174163</x:v>
      </x:c>
      <x:c r="Y114" s="78" t="n">
        <x:f>SUMIFS('Annual partners'!$F$2:$F$286,'Annual partners'!$A$2:$A$286,Y$112,'Annual partners'!$B$2:$B$286,$B114)</x:f>
        <x:v>2.149589125580365</x:v>
      </x:c>
      <x:c r="Z114" s="70"/>
      <x:c r="AA114" s="46" t="str">
        <x:f>YEAR('Monthly totals'!A86)&amp;"-"&amp;IF(MONTH('Monthly totals'!A86)&lt;10,"0","")&amp;MONTH('Monthly totals'!A86)</x:f>
        <x:v>1931-01</x:v>
      </x:c>
      <x:c r="AB114" s="44" t="n">
        <x:f>'Monthly totals'!B86</x:f>
        <x:v>998.3</x:v>
      </x:c>
      <x:c r="AC114" s="44" t="n">
        <x:f>'Monthly totals'!C86</x:f>
        <x:v>880.4</x:v>
      </x:c>
      <x:c r="AD114" s="44" t="n">
        <x:f>'Monthly totals'!D86</x:f>
        <x:v>117.89999999999998</x:v>
      </x:c>
      <x:c r="AE114" s="44" t="n">
        <x:f>MAX(AD114,0)</x:f>
        <x:v>117.89999999999998</x:v>
      </x:c>
      <x:c r="AF114" s="44" t="n">
        <x:f>MIN(AD114,0)</x:f>
        <x:v>0</x:v>
      </x:c>
      <x:c r="AI114" s="36" t="str">
        <x:f>AA107</x:f>
        <x:v>1930-06</x:v>
      </x:c>
      <x:c r="AJ114" s="68" t="n">
        <x:f>'Monthly totals'!I79</x:f>
        <x:v>70.82107987295612</x:v>
      </x:c>
      <x:c r="AK114" s="68" t="n">
        <x:f>'Monthly totals'!J79</x:f>
        <x:v>69.32853017237042</x:v>
      </x:c>
    </x:row>
    <x:row r="115" ht="18" customHeight="1">
      <x:c r="A115" s="70"/>
      <x:c r="B115" s="73" t="str">
        <x:v>France</x:v>
      </x:c>
      <x:c r="C115" s="73"/>
      <x:c r="D115" s="73"/>
      <x:c r="E115" s="73"/>
      <x:c r="F115" s="73"/>
      <x:c r="G115" s="78" t="n">
        <x:f>SUMIFS('Annual partners'!$F$2:$F$286,'Annual partners'!$A$2:$A$286,G$112,'Annual partners'!$B$2:$B$286,$B115)</x:f>
        <x:v>8.32555399039349</x:v>
      </x:c>
      <x:c r="H115" s="78" t="n">
        <x:f>SUMIFS('Annual partners'!$F$2:$F$286,'Annual partners'!$A$2:$A$286,H$112,'Annual partners'!$B$2:$B$286,$B115)</x:f>
        <x:v>4.470772250035457</x:v>
      </x:c>
      <x:c r="I115" s="78" t="n">
        <x:f>SUMIFS('Annual partners'!$F$2:$F$286,'Annual partners'!$A$2:$A$286,I$112,'Annual partners'!$B$2:$B$286,$B115)</x:f>
        <x:v>4.421157193072495</x:v>
      </x:c>
      <x:c r="J115" s="78" t="n">
        <x:f>SUMIFS('Annual partners'!$F$2:$F$286,'Annual partners'!$A$2:$A$286,J$112,'Annual partners'!$B$2:$B$286,$B115)</x:f>
        <x:v>2.179333702165783</x:v>
      </x:c>
      <x:c r="K115" s="78" t="n">
        <x:f>SUMIFS('Annual partners'!$F$2:$F$286,'Annual partners'!$A$2:$A$286,K$112,'Annual partners'!$B$2:$B$286,$B115)</x:f>
        <x:v>1.7082512125503548</x:v>
      </x:c>
      <x:c r="L115" s="78" t="n">
        <x:f>SUMIFS('Annual partners'!$F$2:$F$286,'Annual partners'!$A$2:$A$286,L$112,'Annual partners'!$B$2:$B$286,$B115)</x:f>
        <x:v>1.425494489753478</x:v>
      </x:c>
      <x:c r="M115" s="78" t="n">
        <x:f>SUMIFS('Annual partners'!$F$2:$F$286,'Annual partners'!$A$2:$A$286,M$112,'Annual partners'!$B$2:$B$286,$B115)</x:f>
        <x:v>1.4180951660395489</x:v>
      </x:c>
      <x:c r="N115" s="78" t="n">
        <x:f>SUMIFS('Annual partners'!$F$2:$F$286,'Annual partners'!$A$2:$A$286,N$112,'Annual partners'!$B$2:$B$286,$B115)</x:f>
        <x:v>1.2465584309613729</x:v>
      </x:c>
      <x:c r="O115" s="78" t="n">
        <x:f>SUMIFS('Annual partners'!$F$2:$F$286,'Annual partners'!$A$2:$A$286,O$112,'Annual partners'!$B$2:$B$286,$B115)</x:f>
        <x:v>1.3852105032314277</x:v>
      </x:c>
      <x:c r="P115" s="78" t="n">
        <x:f>SUMIFS('Annual partners'!$F$2:$F$286,'Annual partners'!$A$2:$A$286,P$112,'Annual partners'!$B$2:$B$286,$B115)</x:f>
        <x:v>1.619601549724524</x:v>
      </x:c>
      <x:c r="Q115" s="78" t="n">
        <x:f>SUMIFS('Annual partners'!$F$2:$F$286,'Annual partners'!$A$2:$A$286,Q$112,'Annual partners'!$B$2:$B$286,$B115)</x:f>
        <x:v>2.369270628621293</x:v>
      </x:c>
      <x:c r="R115" s="78" t="n">
        <x:f>SUMIFS('Annual partners'!$F$2:$F$286,'Annual partners'!$A$2:$A$286,R$112,'Annual partners'!$B$2:$B$286,$B115)</x:f>
        <x:v>3.5667045619520232</x:v>
      </x:c>
      <x:c r="S115" s="78" t="n">
        <x:f>SUMIFS('Annual partners'!$F$2:$F$286,'Annual partners'!$A$2:$A$286,S$112,'Annual partners'!$B$2:$B$286,$B115)</x:f>
        <x:v>4.951372382435345</x:v>
      </x:c>
      <x:c r="T115" s="78" t="n">
        <x:f>SUMIFS('Annual partners'!$F$2:$F$286,'Annual partners'!$A$2:$A$286,T$112,'Annual partners'!$B$2:$B$286,$B115)</x:f>
        <x:v>5.605245834770521</x:v>
      </x:c>
      <x:c r="U115" s="78" t="n">
        <x:f>SUMIFS('Annual partners'!$F$2:$F$286,'Annual partners'!$A$2:$A$286,U$112,'Annual partners'!$B$2:$B$286,$B115)</x:f>
        <x:v>4.130332434128402</x:v>
      </x:c>
      <x:c r="V115" s="78" t="n">
        <x:f>SUMIFS('Annual partners'!$F$2:$F$286,'Annual partners'!$A$2:$A$286,V$112,'Annual partners'!$B$2:$B$286,$B115)</x:f>
        <x:v>4.001686748716345</x:v>
      </x:c>
      <x:c r="W115" s="78" t="n">
        <x:f>SUMIFS('Annual partners'!$F$2:$F$286,'Annual partners'!$A$2:$A$286,W$112,'Annual partners'!$B$2:$B$286,$B115)</x:f>
        <x:v>4.2680972299924544</x:v>
      </x:c>
      <x:c r="X115" s="78" t="n">
        <x:f>SUMIFS('Annual partners'!$F$2:$F$286,'Annual partners'!$A$2:$A$286,X$112,'Annual partners'!$B$2:$B$286,$B115)</x:f>
        <x:v>3.813007253476438</x:v>
      </x:c>
      <x:c r="Y115" s="78" t="n">
        <x:f>SUMIFS('Annual partners'!$F$2:$F$286,'Annual partners'!$A$2:$A$286,Y$112,'Annual partners'!$B$2:$B$286,$B115)</x:f>
        <x:v>2.501340073402606</x:v>
      </x:c>
      <x:c r="Z115" s="70"/>
      <x:c r="AA115" s="46" t="str">
        <x:f>YEAR('Monthly totals'!A87)&amp;"-"&amp;IF(MONTH('Monthly totals'!A87)&lt;10,"0","")&amp;MONTH('Monthly totals'!A87)</x:f>
        <x:v>1931-02</x:v>
      </x:c>
      <x:c r="AB115" s="44" t="n">
        <x:f>'Monthly totals'!B87</x:f>
        <x:v>1001</x:v>
      </x:c>
      <x:c r="AC115" s="44" t="n">
        <x:f>'Monthly totals'!C87</x:f>
        <x:v>841.8</x:v>
      </x:c>
      <x:c r="AD115" s="44" t="n">
        <x:f>'Monthly totals'!D87</x:f>
        <x:v>159.20000000000005</x:v>
      </x:c>
      <x:c r="AE115" s="44" t="n">
        <x:f>MAX(AD115,0)</x:f>
        <x:v>159.20000000000005</x:v>
      </x:c>
      <x:c r="AF115" s="44" t="n">
        <x:f>MIN(AD115,0)</x:f>
        <x:v>0</x:v>
      </x:c>
      <x:c r="AI115" s="36" t="str">
        <x:f>AA108</x:f>
        <x:v>1930-07</x:v>
      </x:c>
      <x:c r="AJ115" s="68" t="n">
        <x:f>'Monthly totals'!I80</x:f>
        <x:v>83.65486413363134</x:v>
      </x:c>
      <x:c r="AK115" s="68" t="n">
        <x:f>'Monthly totals'!J80</x:f>
        <x:v>72.99932581330059</x:v>
      </x:c>
    </x:row>
    <x:row r="116" ht="18" customHeight="1">
      <x:c r="A116" s="70"/>
      <x:c r="B116" s="73" t="str">
        <x:v>Germany</x:v>
      </x:c>
      <x:c r="C116" s="73"/>
      <x:c r="D116" s="73"/>
      <x:c r="E116" s="73"/>
      <x:c r="F116" s="73"/>
      <x:c r="G116" s="78" t="n">
        <x:f>SUMIFS('Annual partners'!$F$2:$F$286,'Annual partners'!$A$2:$A$286,G$112,'Annual partners'!$B$2:$B$286,$B116)</x:f>
        <x:v>12.281419576393429</x:v>
      </x:c>
      <x:c r="H116" s="78" t="n">
        <x:f>SUMIFS('Annual partners'!$F$2:$F$286,'Annual partners'!$A$2:$A$286,H$112,'Annual partners'!$B$2:$B$286,$B116)</x:f>
        <x:v>13.670311200374174</x:v>
      </x:c>
      <x:c r="I116" s="78" t="n">
        <x:f>SUMIFS('Annual partners'!$F$2:$F$286,'Annual partners'!$A$2:$A$286,I$112,'Annual partners'!$B$2:$B$286,$B116)</x:f>
        <x:v>20.954655175461113</x:v>
      </x:c>
      <x:c r="J116" s="78" t="n">
        <x:f>SUMIFS('Annual partners'!$F$2:$F$286,'Annual partners'!$A$2:$A$286,J$112,'Annual partners'!$B$2:$B$286,$B116)</x:f>
        <x:v>23.03764306282839</x:v>
      </x:c>
      <x:c r="K116" s="78" t="n">
        <x:f>SUMIFS('Annual partners'!$F$2:$F$286,'Annual partners'!$A$2:$A$286,K$112,'Annual partners'!$B$2:$B$286,$B116)</x:f>
        <x:v>24.223799006479165</x:v>
      </x:c>
      <x:c r="L116" s="78" t="n">
        <x:f>SUMIFS('Annual partners'!$F$2:$F$286,'Annual partners'!$A$2:$A$286,L$112,'Annual partners'!$B$2:$B$286,$B116)</x:f>
        <x:v>28.289823165658916</x:v>
      </x:c>
      <x:c r="M116" s="78" t="n">
        <x:f>SUMIFS('Annual partners'!$F$2:$F$286,'Annual partners'!$A$2:$A$286,M$112,'Annual partners'!$B$2:$B$286,$B116)</x:f>
        <x:v>26.668189543125298</x:v>
      </x:c>
      <x:c r="N116" s="78" t="n">
        <x:f>SUMIFS('Annual partners'!$F$2:$F$286,'Annual partners'!$A$2:$A$286,N$112,'Annual partners'!$B$2:$B$286,$B116)</x:f>
        <x:v>28.411967000668177</x:v>
      </x:c>
      <x:c r="O116" s="78" t="n">
        <x:f>SUMIFS('Annual partners'!$F$2:$F$286,'Annual partners'!$A$2:$A$286,O$112,'Annual partners'!$B$2:$B$286,$B116)</x:f>
        <x:v>26.810881214854113</x:v>
      </x:c>
      <x:c r="P116" s="78" t="n">
        <x:f>SUMIFS('Annual partners'!$F$2:$F$286,'Annual partners'!$A$2:$A$286,P$112,'Annual partners'!$B$2:$B$286,$B116)</x:f>
        <x:v>22.888272518839948</x:v>
      </x:c>
      <x:c r="Q116" s="78" t="n">
        <x:f>SUMIFS('Annual partners'!$F$2:$F$286,'Annual partners'!$A$2:$A$286,Q$112,'Annual partners'!$B$2:$B$286,$B116)</x:f>
        <x:v>20.438833558852796</x:v>
      </x:c>
      <x:c r="R116" s="78" t="n">
        <x:f>SUMIFS('Annual partners'!$F$2:$F$286,'Annual partners'!$A$2:$A$286,R$112,'Annual partners'!$B$2:$B$286,$B116)</x:f>
        <x:v>18.958540519703075</x:v>
      </x:c>
      <x:c r="S116" s="78" t="n">
        <x:f>SUMIFS('Annual partners'!$F$2:$F$286,'Annual partners'!$A$2:$A$286,S$112,'Annual partners'!$B$2:$B$286,$B116)</x:f>
        <x:v>19.644150548777105</x:v>
      </x:c>
      <x:c r="T116" s="78" t="n">
        <x:f>SUMIFS('Annual partners'!$F$2:$F$286,'Annual partners'!$A$2:$A$286,T$112,'Annual partners'!$B$2:$B$286,$B116)</x:f>
        <x:v>19.765970856435978</x:v>
      </x:c>
      <x:c r="U116" s="78" t="n">
        <x:f>SUMIFS('Annual partners'!$F$2:$F$286,'Annual partners'!$A$2:$A$286,U$112,'Annual partners'!$B$2:$B$286,$B116)</x:f>
        <x:v>22.197120046808607</x:v>
      </x:c>
      <x:c r="V116" s="78" t="n">
        <x:f>SUMIFS('Annual partners'!$F$2:$F$286,'Annual partners'!$A$2:$A$286,V$112,'Annual partners'!$B$2:$B$286,$B116)</x:f>
        <x:v>15.402718806379896</x:v>
      </x:c>
      <x:c r="W116" s="78" t="n">
        <x:f>SUMIFS('Annual partners'!$F$2:$F$286,'Annual partners'!$A$2:$A$286,W$112,'Annual partners'!$B$2:$B$286,$B116)</x:f>
        <x:v>15.304177210401516</x:v>
      </x:c>
      <x:c r="X116" s="78" t="n">
        <x:f>SUMIFS('Annual partners'!$F$2:$F$286,'Annual partners'!$A$2:$A$286,X$112,'Annual partners'!$B$2:$B$286,$B116)</x:f>
        <x:v>15.048401574674354</x:v>
      </x:c>
      <x:c r="Y116" s="78" t="n">
        <x:f>SUMIFS('Annual partners'!$F$2:$F$286,'Annual partners'!$A$2:$A$286,Y$112,'Annual partners'!$B$2:$B$286,$B116)</x:f>
        <x:v>15.799480073015681</x:v>
      </x:c>
      <x:c r="Z116" s="70"/>
      <x:c r="AA116" s="46" t="str">
        <x:f>YEAR('Monthly totals'!A88)&amp;"-"&amp;IF(MONTH('Monthly totals'!A88)&lt;10,"0","")&amp;MONTH('Monthly totals'!A88)</x:f>
        <x:v>1931-03</x:v>
      </x:c>
      <x:c r="AB116" s="44" t="n">
        <x:f>'Monthly totals'!B88</x:f>
        <x:v>1082.9</x:v>
      </x:c>
      <x:c r="AC116" s="44" t="n">
        <x:f>'Monthly totals'!C88</x:f>
        <x:v>877.6</x:v>
      </x:c>
      <x:c r="AD116" s="44" t="n">
        <x:f>'Monthly totals'!D88</x:f>
        <x:v>205.30000000000007</x:v>
      </x:c>
      <x:c r="AE116" s="44" t="n">
        <x:f>MAX(AD116,0)</x:f>
        <x:v>205.30000000000007</x:v>
      </x:c>
      <x:c r="AF116" s="44" t="n">
        <x:f>MIN(AD116,0)</x:f>
        <x:v>0</x:v>
      </x:c>
      <x:c r="AI116" s="36" t="str">
        <x:f>AA109</x:f>
        <x:v>1930-08</x:v>
      </x:c>
      <x:c r="AJ116" s="68" t="n">
        <x:f>'Monthly totals'!I81</x:f>
        <x:v>78.87895541700976</x:v>
      </x:c>
      <x:c r="AK116" s="68" t="n">
        <x:f>'Monthly totals'!J81</x:f>
        <x:v>69.99869187655341</x:v>
      </x:c>
    </x:row>
    <x:row r="117" ht="18" customHeight="1">
      <x:c r="A117" s="70"/>
      <x:c r="B117" s="73" t="str">
        <x:v>Hungary</x:v>
      </x:c>
      <x:c r="C117" s="73"/>
      <x:c r="D117" s="73"/>
      <x:c r="E117" s="73"/>
      <x:c r="F117" s="73"/>
      <x:c r="G117" s="78" t="n">
        <x:f>SUMIFS('Annual partners'!$F$2:$F$286,'Annual partners'!$A$2:$A$286,G$112,'Annual partners'!$B$2:$B$286,$B117)</x:f>
        <x:v>8.80951626953178</x:v>
      </x:c>
      <x:c r="H117" s="78" t="n">
        <x:f>SUMIFS('Annual partners'!$F$2:$F$286,'Annual partners'!$A$2:$A$286,H$112,'Annual partners'!$B$2:$B$286,$B117)</x:f>
        <x:v>10.408039270014209</x:v>
      </x:c>
      <x:c r="I117" s="78" t="n">
        <x:f>SUMIFS('Annual partners'!$F$2:$F$286,'Annual partners'!$A$2:$A$286,I$112,'Annual partners'!$B$2:$B$286,$B117)</x:f>
        <x:v>8.093570022802067</x:v>
      </x:c>
      <x:c r="J117" s="78" t="n">
        <x:f>SUMIFS('Annual partners'!$F$2:$F$286,'Annual partners'!$A$2:$A$286,J$112,'Annual partners'!$B$2:$B$286,$B117)</x:f>
        <x:v>5.135459615004518</x:v>
      </x:c>
      <x:c r="K117" s="78" t="n">
        <x:f>SUMIFS('Annual partners'!$F$2:$F$286,'Annual partners'!$A$2:$A$286,K$112,'Annual partners'!$B$2:$B$286,$B117)</x:f>
        <x:v>6.661291577085917</x:v>
      </x:c>
      <x:c r="L117" s="78" t="n">
        <x:f>SUMIFS('Annual partners'!$F$2:$F$286,'Annual partners'!$A$2:$A$286,L$112,'Annual partners'!$B$2:$B$286,$B117)</x:f>
        <x:v>6.259946938327468</x:v>
      </x:c>
      <x:c r="M117" s="78" t="n">
        <x:f>SUMIFS('Annual partners'!$F$2:$F$286,'Annual partners'!$A$2:$A$286,M$112,'Annual partners'!$B$2:$B$286,$B117)</x:f>
        <x:v>6.878161688374563</x:v>
      </x:c>
      <x:c r="N117" s="78" t="n">
        <x:f>SUMIFS('Annual partners'!$F$2:$F$286,'Annual partners'!$A$2:$A$286,N$112,'Annual partners'!$B$2:$B$286,$B117)</x:f>
        <x:v>8.05585157869424</x:v>
      </x:c>
      <x:c r="O117" s="78" t="n">
        <x:f>SUMIFS('Annual partners'!$F$2:$F$286,'Annual partners'!$A$2:$A$286,O$112,'Annual partners'!$B$2:$B$286,$B117)</x:f>
        <x:v>6.915069775738662</x:v>
      </x:c>
      <x:c r="P117" s="78" t="n">
        <x:f>SUMIFS('Annual partners'!$F$2:$F$286,'Annual partners'!$A$2:$A$286,P$112,'Annual partners'!$B$2:$B$286,$B117)</x:f>
        <x:v>6.369570926083776</x:v>
      </x:c>
      <x:c r="Q117" s="78" t="n">
        <x:f>SUMIFS('Annual partners'!$F$2:$F$286,'Annual partners'!$A$2:$A$286,Q$112,'Annual partners'!$B$2:$B$286,$B117)</x:f>
        <x:v>5.748377049619394</x:v>
      </x:c>
      <x:c r="R117" s="78" t="n">
        <x:f>SUMIFS('Annual partners'!$F$2:$F$286,'Annual partners'!$A$2:$A$286,R$112,'Annual partners'!$B$2:$B$286,$B117)</x:f>
        <x:v>2.2002992837768254</x:v>
      </x:c>
      <x:c r="S117" s="78" t="n">
        <x:f>SUMIFS('Annual partners'!$F$2:$F$286,'Annual partners'!$A$2:$A$286,S$112,'Annual partners'!$B$2:$B$286,$B117)</x:f>
        <x:v>2.733468706920693</x:v>
      </x:c>
      <x:c r="T117" s="78" t="n">
        <x:f>SUMIFS('Annual partners'!$F$2:$F$286,'Annual partners'!$A$2:$A$286,T$112,'Annual partners'!$B$2:$B$286,$B117)</x:f>
        <x:v>3.210269485700123</x:v>
      </x:c>
      <x:c r="U117" s="78" t="n">
        <x:f>SUMIFS('Annual partners'!$F$2:$F$286,'Annual partners'!$A$2:$A$286,U$112,'Annual partners'!$B$2:$B$286,$B117)</x:f>
        <x:v>2.1074300838320266</x:v>
      </x:c>
      <x:c r="V117" s="78" t="n">
        <x:f>SUMIFS('Annual partners'!$F$2:$F$286,'Annual partners'!$A$2:$A$286,V$112,'Annual partners'!$B$2:$B$286,$B117)</x:f>
        <x:v>1.750423354548565</x:v>
      </x:c>
      <x:c r="W117" s="78" t="n">
        <x:f>SUMIFS('Annual partners'!$F$2:$F$286,'Annual partners'!$A$2:$A$286,W$112,'Annual partners'!$B$2:$B$286,$B117)</x:f>
        <x:v>1.9561075351452295</x:v>
      </x:c>
      <x:c r="X117" s="78" t="n">
        <x:f>SUMIFS('Annual partners'!$F$2:$F$286,'Annual partners'!$A$2:$A$286,X$112,'Annual partners'!$B$2:$B$286,$B117)</x:f>
        <x:v>1.8944028158002877</x:v>
      </x:c>
      <x:c r="Y117" s="78" t="n">
        <x:f>SUMIFS('Annual partners'!$F$2:$F$286,'Annual partners'!$A$2:$A$286,Y$112,'Annual partners'!$B$2:$B$286,$B117)</x:f>
        <x:v>2.2472977221976542</x:v>
      </x:c>
      <x:c r="Z117" s="70"/>
      <x:c r="AA117" s="46" t="str">
        <x:f>YEAR('Monthly totals'!A89)&amp;"-"&amp;IF(MONTH('Monthly totals'!A89)&lt;10,"0","")&amp;MONTH('Monthly totals'!A89)</x:f>
        <x:v>1931-04</x:v>
      </x:c>
      <x:c r="AB117" s="44" t="n">
        <x:f>'Monthly totals'!B89</x:f>
        <x:v>1166.9</x:v>
      </x:c>
      <x:c r="AC117" s="44" t="n">
        <x:f>'Monthly totals'!C89</x:f>
        <x:v>1003.7</x:v>
      </x:c>
      <x:c r="AD117" s="44" t="n">
        <x:f>'Monthly totals'!D89</x:f>
        <x:v>163.20000000000005</x:v>
      </x:c>
      <x:c r="AE117" s="44" t="n">
        <x:f>MAX(AD117,0)</x:f>
        <x:v>163.20000000000005</x:v>
      </x:c>
      <x:c r="AF117" s="44" t="n">
        <x:f>MIN(AD117,0)</x:f>
        <x:v>0</x:v>
      </x:c>
      <x:c r="AI117" s="36" t="str">
        <x:f>AA110</x:f>
        <x:v>1930-09</x:v>
      </x:c>
      <x:c r="AJ117" s="68" t="n">
        <x:f>'Monthly totals'!I82</x:f>
        <x:v>89.20715209975297</x:v>
      </x:c>
      <x:c r="AK117" s="68" t="n">
        <x:f>'Monthly totals'!J82</x:f>
        <x:v>76.21730949194499</x:v>
      </x:c>
    </x:row>
    <x:row r="118" ht="18" customHeight="1">
      <x:c r="A118" s="70"/>
      <x:c r="B118" s="73" t="str">
        <x:v>Italy</x:v>
      </x:c>
      <x:c r="C118" s="73"/>
      <x:c r="D118" s="73"/>
      <x:c r="E118" s="73"/>
      <x:c r="F118" s="73"/>
      <x:c r="G118" s="78" t="n">
        <x:f>SUMIFS('Annual partners'!$F$2:$F$286,'Annual partners'!$A$2:$A$286,G$112,'Annual partners'!$B$2:$B$286,$B118)</x:f>
        <x:v>4.562571921441419</x:v>
      </x:c>
      <x:c r="H118" s="78" t="n">
        <x:f>SUMIFS('Annual partners'!$F$2:$F$286,'Annual partners'!$A$2:$A$286,H$112,'Annual partners'!$B$2:$B$286,$B118)</x:f>
        <x:v>3.1264853775874384</x:v>
      </x:c>
      <x:c r="I118" s="78" t="n">
        <x:f>SUMIFS('Annual partners'!$F$2:$F$286,'Annual partners'!$A$2:$A$286,I$112,'Annual partners'!$B$2:$B$286,$B118)</x:f>
        <x:v>3.3769898836486916</x:v>
      </x:c>
      <x:c r="J118" s="78" t="n">
        <x:f>SUMIFS('Annual partners'!$F$2:$F$286,'Annual partners'!$A$2:$A$286,J$112,'Annual partners'!$B$2:$B$286,$B118)</x:f>
        <x:v>3.3373294977060173</x:v>
      </x:c>
      <x:c r="K118" s="78" t="n">
        <x:f>SUMIFS('Annual partners'!$F$2:$F$286,'Annual partners'!$A$2:$A$286,K$112,'Annual partners'!$B$2:$B$286,$B118)</x:f>
        <x:v>4.883954711886296</x:v>
      </x:c>
      <x:c r="L118" s="78" t="n">
        <x:f>SUMIFS('Annual partners'!$F$2:$F$286,'Annual partners'!$A$2:$A$286,L$112,'Annual partners'!$B$2:$B$286,$B118)</x:f>
        <x:v>3.7298528174574965</x:v>
      </x:c>
      <x:c r="M118" s="78" t="n">
        <x:f>SUMIFS('Annual partners'!$F$2:$F$286,'Annual partners'!$A$2:$A$286,M$112,'Annual partners'!$B$2:$B$286,$B118)</x:f>
        <x:v>2.4696807486817587</x:v>
      </x:c>
      <x:c r="N118" s="78" t="n">
        <x:f>SUMIFS('Annual partners'!$F$2:$F$286,'Annual partners'!$A$2:$A$286,N$112,'Annual partners'!$B$2:$B$286,$B118)</x:f>
        <x:v>3.660958356108271</x:v>
      </x:c>
      <x:c r="O118" s="78" t="n">
        <x:f>SUMIFS('Annual partners'!$F$2:$F$286,'Annual partners'!$A$2:$A$286,O$112,'Annual partners'!$B$2:$B$286,$B118)</x:f>
        <x:v>3.819882868672951</x:v>
      </x:c>
      <x:c r="P118" s="78" t="n">
        <x:f>SUMIFS('Annual partners'!$F$2:$F$286,'Annual partners'!$A$2:$A$286,P$112,'Annual partners'!$B$2:$B$286,$B118)</x:f>
        <x:v>3.8120590945773642</x:v>
      </x:c>
      <x:c r="Q118" s="78" t="n">
        <x:f>SUMIFS('Annual partners'!$F$2:$F$286,'Annual partners'!$A$2:$A$286,Q$112,'Annual partners'!$B$2:$B$286,$B118)</x:f>
        <x:v>3.7911363182175397</x:v>
      </x:c>
      <x:c r="R118" s="78" t="n">
        <x:f>SUMIFS('Annual partners'!$F$2:$F$286,'Annual partners'!$A$2:$A$286,R$112,'Annual partners'!$B$2:$B$286,$B118)</x:f>
        <x:v>3.404704688649886</x:v>
      </x:c>
      <x:c r="S118" s="78" t="n">
        <x:f>SUMIFS('Annual partners'!$F$2:$F$286,'Annual partners'!$A$2:$A$286,S$112,'Annual partners'!$B$2:$B$286,$B118)</x:f>
        <x:v>3.43322208528536</x:v>
      </x:c>
      <x:c r="T118" s="78" t="n">
        <x:f>SUMIFS('Annual partners'!$F$2:$F$286,'Annual partners'!$A$2:$A$286,T$112,'Annual partners'!$B$2:$B$286,$B118)</x:f>
        <x:v>3.1888614985962405</x:v>
      </x:c>
      <x:c r="U118" s="78" t="n">
        <x:f>SUMIFS('Annual partners'!$F$2:$F$286,'Annual partners'!$A$2:$A$286,U$112,'Annual partners'!$B$2:$B$286,$B118)</x:f>
        <x:v>3.1814400150173943</x:v>
      </x:c>
      <x:c r="V118" s="78" t="n">
        <x:f>SUMIFS('Annual partners'!$F$2:$F$286,'Annual partners'!$A$2:$A$286,V$112,'Annual partners'!$B$2:$B$286,$B118)</x:f>
        <x:v>2.8703922873654037</x:v>
      </x:c>
      <x:c r="W118" s="78" t="n">
        <x:f>SUMIFS('Annual partners'!$F$2:$F$286,'Annual partners'!$A$2:$A$286,W$112,'Annual partners'!$B$2:$B$286,$B118)</x:f>
        <x:v>1.4384607573968737</x:v>
      </x:c>
      <x:c r="X118" s="78" t="n">
        <x:f>SUMIFS('Annual partners'!$F$2:$F$286,'Annual partners'!$A$2:$A$286,X$112,'Annual partners'!$B$2:$B$286,$B118)</x:f>
        <x:v>3.4166013779235143</x:v>
      </x:c>
      <x:c r="Y118" s="78" t="n">
        <x:f>SUMIFS('Annual partners'!$F$2:$F$286,'Annual partners'!$A$2:$A$286,Y$112,'Annual partners'!$B$2:$B$286,$B118)</x:f>
        <x:v>2.9214870388569505</x:v>
      </x:c>
      <x:c r="Z118" s="70"/>
      <x:c r="AA118" s="46" t="str">
        <x:f>YEAR('Monthly totals'!A90)&amp;"-"&amp;IF(MONTH('Monthly totals'!A90)&lt;10,"0","")&amp;MONTH('Monthly totals'!A90)</x:f>
        <x:v>1931-05</x:v>
      </x:c>
      <x:c r="AB118" s="44" t="n">
        <x:f>'Monthly totals'!B90</x:f>
        <x:v>1093.6</x:v>
      </x:c>
      <x:c r="AC118" s="44" t="n">
        <x:f>'Monthly totals'!C90</x:f>
        <x:v>952.1</x:v>
      </x:c>
      <x:c r="AD118" s="44" t="n">
        <x:f>'Monthly totals'!D90</x:f>
        <x:v>141.4999999999999</x:v>
      </x:c>
      <x:c r="AE118" s="44" t="n">
        <x:f>MAX(AD118,0)</x:f>
        <x:v>141.4999999999999</x:v>
      </x:c>
      <x:c r="AF118" s="44" t="n">
        <x:f>MIN(AD118,0)</x:f>
        <x:v>0</x:v>
      </x:c>
      <x:c r="AI118" s="36" t="str">
        <x:f>AA111</x:f>
        <x:v>1930-10</x:v>
      </x:c>
      <x:c r="AJ118" s="68" t="n">
        <x:f>'Monthly totals'!I83</x:f>
        <x:v>99.97647335607576</x:v>
      </x:c>
      <x:c r="AK118" s="68" t="n">
        <x:f>'Monthly totals'!J83</x:f>
        <x:v>76.07240966401352</x:v>
      </x:c>
    </x:row>
    <x:row r="119" ht="18" customHeight="1">
      <x:c r="A119" s="70"/>
      <x:c r="B119" s="73" t="str">
        <x:v>Netherlands</x:v>
      </x:c>
      <x:c r="C119" s="73"/>
      <x:c r="D119" s="73"/>
      <x:c r="E119" s="73"/>
      <x:c r="F119" s="73"/>
      <x:c r="G119" s="78" t="n">
        <x:f>SUMIFS('Annual partners'!$F$2:$F$286,'Annual partners'!$A$2:$A$286,G$112,'Annual partners'!$B$2:$B$286,$B119)</x:f>
        <x:v>1.9533839817393317</x:v>
      </x:c>
      <x:c r="H119" s="78" t="n">
        <x:f>SUMIFS('Annual partners'!$F$2:$F$286,'Annual partners'!$A$2:$A$286,H$112,'Annual partners'!$B$2:$B$286,$B119)</x:f>
        <x:v>1.9247743855505728</x:v>
      </x:c>
      <x:c r="I119" s="78" t="n">
        <x:f>SUMIFS('Annual partners'!$F$2:$F$286,'Annual partners'!$A$2:$A$286,I$112,'Annual partners'!$B$2:$B$286,$B119)</x:f>
        <x:v>2.0526801253550873</x:v>
      </x:c>
      <x:c r="J119" s="78" t="n">
        <x:f>SUMIFS('Annual partners'!$F$2:$F$286,'Annual partners'!$A$2:$A$286,J$112,'Annual partners'!$B$2:$B$286,$B119)</x:f>
        <x:v>1.6758572693222027</x:v>
      </x:c>
      <x:c r="K119" s="78" t="n">
        <x:f>SUMIFS('Annual partners'!$F$2:$F$286,'Annual partners'!$A$2:$A$286,K$112,'Annual partners'!$B$2:$B$286,$B119)</x:f>
        <x:v>1.4781770286829612</x:v>
      </x:c>
      <x:c r="L119" s="78" t="n">
        <x:f>SUMIFS('Annual partners'!$F$2:$F$286,'Annual partners'!$A$2:$A$286,L$112,'Annual partners'!$B$2:$B$286,$B119)</x:f>
        <x:v>1.3724689468500226</x:v>
      </x:c>
      <x:c r="M119" s="78" t="n">
        <x:f>SUMIFS('Annual partners'!$F$2:$F$286,'Annual partners'!$A$2:$A$286,M$112,'Annual partners'!$B$2:$B$286,$B119)</x:f>
        <x:v>1.5352621969327909</x:v>
      </x:c>
      <x:c r="N119" s="78" t="n">
        <x:f>SUMIFS('Annual partners'!$F$2:$F$286,'Annual partners'!$A$2:$A$286,N$112,'Annual partners'!$B$2:$B$286,$B119)</x:f>
        <x:v>1.5685727819777253</x:v>
      </x:c>
      <x:c r="O119" s="78" t="n">
        <x:f>SUMIFS('Annual partners'!$F$2:$F$286,'Annual partners'!$A$2:$A$286,O$112,'Annual partners'!$B$2:$B$286,$B119)</x:f>
        <x:v>1.8196294788060672</x:v>
      </x:c>
      <x:c r="P119" s="78" t="n">
        <x:f>SUMIFS('Annual partners'!$F$2:$F$286,'Annual partners'!$A$2:$A$286,P$112,'Annual partners'!$B$2:$B$286,$B119)</x:f>
        <x:v>2.154757903960458</x:v>
      </x:c>
      <x:c r="Q119" s="78" t="n">
        <x:f>SUMIFS('Annual partners'!$F$2:$F$286,'Annual partners'!$A$2:$A$286,Q$112,'Annual partners'!$B$2:$B$286,$B119)</x:f>
        <x:v>2.5309533189589954</x:v>
      </x:c>
      <x:c r="R119" s="78" t="n">
        <x:f>SUMIFS('Annual partners'!$F$2:$F$286,'Annual partners'!$A$2:$A$286,R$112,'Annual partners'!$B$2:$B$286,$B119)</x:f>
        <x:v>3.2244834419353046</x:v>
      </x:c>
      <x:c r="S119" s="78" t="n">
        <x:f>SUMIFS('Annual partners'!$F$2:$F$286,'Annual partners'!$A$2:$A$286,S$112,'Annual partners'!$B$2:$B$286,$B119)</x:f>
        <x:v>3.9908602536022584</x:v>
      </x:c>
      <x:c r="T119" s="78" t="n">
        <x:f>SUMIFS('Annual partners'!$F$2:$F$286,'Annual partners'!$A$2:$A$286,T$112,'Annual partners'!$B$2:$B$286,$B119)</x:f>
        <x:v>4.4909499760510805</x:v>
      </x:c>
      <x:c r="U119" s="78" t="n">
        <x:f>SUMIFS('Annual partners'!$F$2:$F$286,'Annual partners'!$A$2:$A$286,U$112,'Annual partners'!$B$2:$B$286,$B119)</x:f>
        <x:v>3.7186713941820493</x:v>
      </x:c>
      <x:c r="V119" s="78" t="n">
        <x:f>SUMIFS('Annual partners'!$F$2:$F$286,'Annual partners'!$A$2:$A$286,V$112,'Annual partners'!$B$2:$B$286,$B119)</x:f>
        <x:v>3.6241691309129167</x:v>
      </x:c>
      <x:c r="W119" s="78" t="n">
        <x:f>SUMIFS('Annual partners'!$F$2:$F$286,'Annual partners'!$A$2:$A$286,W$112,'Annual partners'!$B$2:$B$286,$B119)</x:f>
        <x:v>4.19343663704798</x:v>
      </x:c>
      <x:c r="X119" s="78" t="n">
        <x:f>SUMIFS('Annual partners'!$F$2:$F$286,'Annual partners'!$A$2:$A$286,X$112,'Annual partners'!$B$2:$B$286,$B119)</x:f>
        <x:v>4.169355272131382</x:v>
      </x:c>
      <x:c r="Y119" s="78" t="n">
        <x:f>SUMIFS('Annual partners'!$F$2:$F$286,'Annual partners'!$A$2:$A$286,Y$112,'Annual partners'!$B$2:$B$286,$B119)</x:f>
        <x:v>4.221011373866898</x:v>
      </x:c>
      <x:c r="Z119" s="70"/>
      <x:c r="AA119" s="46" t="str">
        <x:f>YEAR('Monthly totals'!A91)&amp;"-"&amp;IF(MONTH('Monthly totals'!A91)&lt;10,"0","")&amp;MONTH('Monthly totals'!A91)</x:f>
        <x:v>1931-06</x:v>
      </x:c>
      <x:c r="AB119" s="44" t="n">
        <x:f>'Monthly totals'!B91</x:f>
        <x:v>1036</x:v>
      </x:c>
      <x:c r="AC119" s="44" t="n">
        <x:f>'Monthly totals'!C91</x:f>
        <x:v>975.9</x:v>
      </x:c>
      <x:c r="AD119" s="44" t="n">
        <x:f>'Monthly totals'!D91</x:f>
        <x:v>60.10000000000002</x:v>
      </x:c>
      <x:c r="AE119" s="44" t="n">
        <x:f>MAX(AD119,0)</x:f>
        <x:v>60.10000000000002</x:v>
      </x:c>
      <x:c r="AF119" s="44" t="n">
        <x:f>MIN(AD119,0)</x:f>
        <x:v>0</x:v>
      </x:c>
      <x:c r="AI119" s="36" t="str">
        <x:f>AA112</x:f>
        <x:v>1930-11</x:v>
      </x:c>
      <x:c r="AJ119" s="68" t="n">
        <x:f>'Monthly totals'!I84</x:f>
        <x:v>94.55358193153747</x:v>
      </x:c>
      <x:c r="AK119" s="68" t="n">
        <x:f>'Monthly totals'!J84</x:f>
        <x:v>82.79213918433472</x:v>
      </x:c>
    </x:row>
    <x:row r="120" ht="18" customHeight="1">
      <x:c r="A120" s="70"/>
      <x:c r="B120" s="73" t="str">
        <x:v>Poland</x:v>
      </x:c>
      <x:c r="C120" s="73"/>
      <x:c r="D120" s="73"/>
      <x:c r="E120" s="73"/>
      <x:c r="F120" s="73"/>
      <x:c r="G120" s="78" t="n">
        <x:f>SUMIFS('Annual partners'!$F$2:$F$286,'Annual partners'!$A$2:$A$286,G$112,'Annual partners'!$B$2:$B$286,$B120)</x:f>
        <x:v>4.997436578058434</x:v>
      </x:c>
      <x:c r="H120" s="78" t="n">
        <x:f>SUMIFS('Annual partners'!$F$2:$F$286,'Annual partners'!$A$2:$A$286,H$112,'Annual partners'!$B$2:$B$286,$B120)</x:f>
        <x:v>4.834001278701968</x:v>
      </x:c>
      <x:c r="I120" s="78" t="n">
        <x:f>SUMIFS('Annual partners'!$F$2:$F$286,'Annual partners'!$A$2:$A$286,I$112,'Annual partners'!$B$2:$B$286,$B120)</x:f>
        <x:v>3.0815669375678105</x:v>
      </x:c>
      <x:c r="J120" s="78" t="n">
        <x:f>SUMIFS('Annual partners'!$F$2:$F$286,'Annual partners'!$A$2:$A$286,J$112,'Annual partners'!$B$2:$B$286,$B120)</x:f>
        <x:v>2.5821148484406473</x:v>
      </x:c>
      <x:c r="K120" s="78" t="n">
        <x:f>SUMIFS('Annual partners'!$F$2:$F$286,'Annual partners'!$A$2:$A$286,K$112,'Annual partners'!$B$2:$B$286,$B120)</x:f>
        <x:v>3.277016208918207</x:v>
      </x:c>
      <x:c r="L120" s="78" t="n">
        <x:f>SUMIFS('Annual partners'!$F$2:$F$286,'Annual partners'!$A$2:$A$286,L$112,'Annual partners'!$B$2:$B$286,$B120)</x:f>
        <x:v>3.5000736938156387</x:v>
      </x:c>
      <x:c r="M120" s="78" t="n">
        <x:f>SUMIFS('Annual partners'!$F$2:$F$286,'Annual partners'!$A$2:$A$286,M$112,'Annual partners'!$B$2:$B$286,$B120)</x:f>
        <x:v>2.0397266909038856</x:v>
      </x:c>
      <x:c r="N120" s="78" t="n">
        <x:f>SUMIFS('Annual partners'!$F$2:$F$286,'Annual partners'!$A$2:$A$286,N$112,'Annual partners'!$B$2:$B$286,$B120)</x:f>
        <x:v>3.357344399461288</x:v>
      </x:c>
      <x:c r="O120" s="78" t="n">
        <x:f>SUMIFS('Annual partners'!$F$2:$F$286,'Annual partners'!$A$2:$A$286,O$112,'Annual partners'!$B$2:$B$286,$B120)</x:f>
        <x:v>4.0925761621951455</x:v>
      </x:c>
      <x:c r="P120" s="78" t="n">
        <x:f>SUMIFS('Annual partners'!$F$2:$F$286,'Annual partners'!$A$2:$A$286,P$112,'Annual partners'!$B$2:$B$286,$B120)</x:f>
        <x:v>4.415604587745793</x:v>
      </x:c>
      <x:c r="Q120" s="78" t="n">
        <x:f>SUMIFS('Annual partners'!$F$2:$F$286,'Annual partners'!$A$2:$A$286,Q$112,'Annual partners'!$B$2:$B$286,$B120)</x:f>
        <x:v>3.6551779551157133</x:v>
      </x:c>
      <x:c r="R120" s="78" t="n">
        <x:f>SUMIFS('Annual partners'!$F$2:$F$286,'Annual partners'!$A$2:$A$286,R$112,'Annual partners'!$B$2:$B$286,$B120)</x:f>
        <x:v>3.001765937028424</x:v>
      </x:c>
      <x:c r="S120" s="78" t="n">
        <x:f>SUMIFS('Annual partners'!$F$2:$F$286,'Annual partners'!$A$2:$A$286,S$112,'Annual partners'!$B$2:$B$286,$B120)</x:f>
        <x:v>2.544518384337429</x:v>
      </x:c>
      <x:c r="T120" s="78" t="n">
        <x:f>SUMIFS('Annual partners'!$F$2:$F$286,'Annual partners'!$A$2:$A$286,T$112,'Annual partners'!$B$2:$B$286,$B120)</x:f>
        <x:v>2.8155723859252277</x:v>
      </x:c>
      <x:c r="U120" s="78" t="n">
        <x:f>SUMIFS('Annual partners'!$F$2:$F$286,'Annual partners'!$A$2:$A$286,U$112,'Annual partners'!$B$2:$B$286,$B120)</x:f>
        <x:v>1.9953622267239646</x:v>
      </x:c>
      <x:c r="V120" s="78" t="n">
        <x:f>SUMIFS('Annual partners'!$F$2:$F$286,'Annual partners'!$A$2:$A$286,V$112,'Annual partners'!$B$2:$B$286,$B120)</x:f>
        <x:v>3.31586307637345</x:v>
      </x:c>
      <x:c r="W120" s="78" t="n">
        <x:f>SUMIFS('Annual partners'!$F$2:$F$286,'Annual partners'!$A$2:$A$286,W$112,'Annual partners'!$B$2:$B$286,$B120)</x:f>
        <x:v>2.1054287210341784</x:v>
      </x:c>
      <x:c r="X120" s="78" t="n">
        <x:f>SUMIFS('Annual partners'!$F$2:$F$286,'Annual partners'!$A$2:$A$286,X$112,'Annual partners'!$B$2:$B$286,$B120)</x:f>
        <x:v>2.6279623202445395</x:v>
      </x:c>
      <x:c r="Y120" s="78" t="n">
        <x:f>SUMIFS('Annual partners'!$F$2:$F$286,'Annual partners'!$A$2:$A$286,Y$112,'Annual partners'!$B$2:$B$286,$B120)</x:f>
        <x:v>2.110505686933449</x:v>
      </x:c>
      <x:c r="Z120" s="70"/>
      <x:c r="AA120" s="46" t="str">
        <x:f>YEAR('Monthly totals'!A92)&amp;"-"&amp;IF(MONTH('Monthly totals'!A92)&lt;10,"0","")&amp;MONTH('Monthly totals'!A92)</x:f>
        <x:v>1931-07</x:v>
      </x:c>
      <x:c r="AB120" s="44" t="n">
        <x:f>'Monthly totals'!B92</x:f>
        <x:v>1099.3</x:v>
      </x:c>
      <x:c r="AC120" s="44" t="n">
        <x:f>'Monthly totals'!C92</x:f>
        <x:v>1010.2</x:v>
      </x:c>
      <x:c r="AD120" s="44" t="n">
        <x:f>'Monthly totals'!D92</x:f>
        <x:v>89.09999999999991</x:v>
      </x:c>
      <x:c r="AE120" s="44" t="n">
        <x:f>MAX(AD120,0)</x:f>
        <x:v>89.09999999999991</x:v>
      </x:c>
      <x:c r="AF120" s="44" t="n">
        <x:f>MIN(AD120,0)</x:f>
        <x:v>0</x:v>
      </x:c>
      <x:c r="AI120" s="36" t="str">
        <x:f>AA113</x:f>
        <x:v>1930-12</x:v>
      </x:c>
      <x:c r="AJ120" s="68" t="n">
        <x:f>'Monthly totals'!I85</x:f>
        <x:v>84.9135395835784</x:v>
      </x:c>
      <x:c r="AK120" s="68" t="n">
        <x:f>'Monthly totals'!J85</x:f>
        <x:v>77.47914549351474</x:v>
      </x:c>
    </x:row>
    <x:row r="121" ht="18" customHeight="1">
      <x:c r="A121" s="70"/>
      <x:c r="B121" s="73" t="str">
        <x:v>Romania</x:v>
      </x:c>
      <x:c r="C121" s="73"/>
      <x:c r="D121" s="73"/>
      <x:c r="E121" s="73"/>
      <x:c r="F121" s="73"/>
      <x:c r="G121" s="78" t="n">
        <x:f>SUMIFS('Annual partners'!$F$2:$F$286,'Annual partners'!$A$2:$A$286,G$112,'Annual partners'!$B$2:$B$286,$B121)</x:f>
        <x:v>2.56710426325528</x:v>
      </x:c>
      <x:c r="H121" s="78" t="n">
        <x:f>SUMIFS('Annual partners'!$F$2:$F$286,'Annual partners'!$A$2:$A$286,H$112,'Annual partners'!$B$2:$B$286,$B121)</x:f>
        <x:v>3.988729987692986</x:v>
      </x:c>
      <x:c r="I121" s="78" t="n">
        <x:f>SUMIFS('Annual partners'!$F$2:$F$286,'Annual partners'!$A$2:$A$286,I$112,'Annual partners'!$B$2:$B$286,$B121)</x:f>
        <x:v>2.663900013798289</x:v>
      </x:c>
      <x:c r="J121" s="78" t="n">
        <x:f>SUMIFS('Annual partners'!$F$2:$F$286,'Annual partners'!$A$2:$A$286,J$112,'Annual partners'!$B$2:$B$286,$B121)</x:f>
        <x:v>2.912970790023571</x:v>
      </x:c>
      <x:c r="K121" s="78" t="n">
        <x:f>SUMIFS('Annual partners'!$F$2:$F$286,'Annual partners'!$A$2:$A$286,K$112,'Annual partners'!$B$2:$B$286,$B121)</x:f>
        <x:v>4.674044451619058</x:v>
      </x:c>
      <x:c r="L121" s="78" t="n">
        <x:f>SUMIFS('Annual partners'!$F$2:$F$286,'Annual partners'!$A$2:$A$286,L$112,'Annual partners'!$B$2:$B$286,$B121)</x:f>
        <x:v>4.515353444997263</x:v>
      </x:c>
      <x:c r="M121" s="78" t="n">
        <x:f>SUMIFS('Annual partners'!$F$2:$F$286,'Annual partners'!$A$2:$A$286,M$112,'Annual partners'!$B$2:$B$286,$B121)</x:f>
        <x:v>4.674489637113175</x:v>
      </x:c>
      <x:c r="N121" s="78" t="n">
        <x:f>SUMIFS('Annual partners'!$F$2:$F$286,'Annual partners'!$A$2:$A$286,N$112,'Annual partners'!$B$2:$B$286,$B121)</x:f>
        <x:v>4.507058649531239</x:v>
      </x:c>
      <x:c r="O121" s="78" t="n">
        <x:f>SUMIFS('Annual partners'!$F$2:$F$286,'Annual partners'!$A$2:$A$286,O$112,'Annual partners'!$B$2:$B$286,$B121)</x:f>
        <x:v>4.099714236727103</x:v>
      </x:c>
      <x:c r="P121" s="78" t="n">
        <x:f>SUMIFS('Annual partners'!$F$2:$F$286,'Annual partners'!$A$2:$A$286,P$112,'Annual partners'!$B$2:$B$286,$B121)</x:f>
        <x:v>3.754763250596899</x:v>
      </x:c>
      <x:c r="Q121" s="78" t="n">
        <x:f>SUMIFS('Annual partners'!$F$2:$F$286,'Annual partners'!$A$2:$A$286,Q$112,'Annual partners'!$B$2:$B$286,$B121)</x:f>
        <x:v>3.413203315696956</x:v>
      </x:c>
      <x:c r="R121" s="78" t="n">
        <x:f>SUMIFS('Annual partners'!$F$2:$F$286,'Annual partners'!$A$2:$A$286,R$112,'Annual partners'!$B$2:$B$286,$B121)</x:f>
        <x:v>2.590834421026126</x:v>
      </x:c>
      <x:c r="S121" s="78" t="n">
        <x:f>SUMIFS('Annual partners'!$F$2:$F$286,'Annual partners'!$A$2:$A$286,S$112,'Annual partners'!$B$2:$B$286,$B121)</x:f>
        <x:v>4.079998484825937</x:v>
      </x:c>
      <x:c r="T121" s="78" t="n">
        <x:f>SUMIFS('Annual partners'!$F$2:$F$286,'Annual partners'!$A$2:$A$286,T$112,'Annual partners'!$B$2:$B$286,$B121)</x:f>
        <x:v>3.7390535204742577</x:v>
      </x:c>
      <x:c r="U121" s="78" t="n">
        <x:f>SUMIFS('Annual partners'!$F$2:$F$286,'Annual partners'!$A$2:$A$286,U$112,'Annual partners'!$B$2:$B$286,$B121)</x:f>
        <x:v>3.713388410836071</x:v>
      </x:c>
      <x:c r="V121" s="78" t="n">
        <x:f>SUMIFS('Annual partners'!$F$2:$F$286,'Annual partners'!$A$2:$A$286,V$112,'Annual partners'!$B$2:$B$286,$B121)</x:f>
        <x:v>4.822158371409131</x:v>
      </x:c>
      <x:c r="W121" s="78" t="n">
        <x:f>SUMIFS('Annual partners'!$F$2:$F$286,'Annual partners'!$A$2:$A$286,W$112,'Annual partners'!$B$2:$B$286,$B121)</x:f>
        <x:v>4.728504219816713</x:v>
      </x:c>
      <x:c r="X121" s="78" t="n">
        <x:f>SUMIFS('Annual partners'!$F$2:$F$286,'Annual partners'!$A$2:$A$286,X$112,'Annual partners'!$B$2:$B$286,$B121)</x:f>
        <x:v>5.455379386293604</x:v>
      </x:c>
      <x:c r="Y121" s="78" t="n">
        <x:f>SUMIFS('Annual partners'!$F$2:$F$286,'Annual partners'!$A$2:$A$286,Y$112,'Annual partners'!$B$2:$B$286,$B121)</x:f>
        <x:v>5.315347655980538</x:v>
      </x:c>
      <x:c r="Z121" s="70"/>
      <x:c r="AA121" s="46" t="str">
        <x:f>YEAR('Monthly totals'!A93)&amp;"-"&amp;IF(MONTH('Monthly totals'!A93)&lt;10,"0","")&amp;MONTH('Monthly totals'!A93)</x:f>
        <x:v>1931-08</x:v>
      </x:c>
      <x:c r="AB121" s="44" t="n">
        <x:f>'Monthly totals'!B93</x:f>
        <x:v>1070.1</x:v>
      </x:c>
      <x:c r="AC121" s="44" t="n">
        <x:f>'Monthly totals'!C93</x:f>
        <x:v>915.9</x:v>
      </x:c>
      <x:c r="AD121" s="44" t="n">
        <x:f>'Monthly totals'!D93</x:f>
        <x:v>154.19999999999993</x:v>
      </x:c>
      <x:c r="AE121" s="44" t="n">
        <x:f>MAX(AD121,0)</x:f>
        <x:v>154.19999999999993</x:v>
      </x:c>
      <x:c r="AF121" s="44" t="n">
        <x:f>MIN(AD121,0)</x:f>
        <x:v>0</x:v>
      </x:c>
      <x:c r="AI121" s="36" t="str">
        <x:f>AA114</x:f>
        <x:v>1931-01</x:v>
      </x:c>
      <x:c r="AJ121" s="68" t="n">
        <x:f>'Monthly totals'!I86</x:f>
        <x:v>58.71662157393248</x:v>
      </x:c>
      <x:c r="AK121" s="68" t="n">
        <x:f>'Monthly totals'!J86</x:f>
        <x:v>53.154086879521834</x:v>
      </x:c>
    </x:row>
    <x:row r="122" ht="18" customHeight="1">
      <x:c r="A122" s="70"/>
      <x:c r="B122" s="73" t="str">
        <x:v>Sweden</x:v>
      </x:c>
      <x:c r="C122" s="73"/>
      <x:c r="D122" s="73"/>
      <x:c r="E122" s="73"/>
      <x:c r="F122" s="73"/>
      <x:c r="G122" s="78" t="n">
        <x:f>SUMIFS('Annual partners'!$F$2:$F$286,'Annual partners'!$A$2:$A$286,G$112,'Annual partners'!$B$2:$B$286,$B122)</x:f>
        <x:v>1.0029942886489207</x:v>
      </x:c>
      <x:c r="H122" s="78" t="n">
        <x:f>SUMIFS('Annual partners'!$F$2:$F$286,'Annual partners'!$A$2:$A$286,H$112,'Annual partners'!$B$2:$B$286,$B122)</x:f>
        <x:v>0.3632290286665102</x:v>
      </x:c>
      <x:c r="I122" s="78" t="n">
        <x:f>SUMIFS('Annual partners'!$F$2:$F$286,'Annual partners'!$A$2:$A$286,I$112,'Annual partners'!$B$2:$B$286,$B122)</x:f>
        <x:v>0.7843988568354427</x:v>
      </x:c>
      <x:c r="J122" s="78" t="n">
        <x:f>SUMIFS('Annual partners'!$F$2:$F$286,'Annual partners'!$A$2:$A$286,J$112,'Annual partners'!$B$2:$B$286,$B122)</x:f>
        <x:v>1.0069528656871605</x:v>
      </x:c>
      <x:c r="K122" s="78" t="n">
        <x:f>SUMIFS('Annual partners'!$F$2:$F$286,'Annual partners'!$A$2:$A$286,K$112,'Annual partners'!$B$2:$B$286,$B122)</x:f>
        <x:v>1.0565719862345269</x:v>
      </x:c>
      <x:c r="L122" s="78" t="n">
        <x:f>SUMIFS('Annual partners'!$F$2:$F$286,'Annual partners'!$A$2:$A$286,L$112,'Annual partners'!$B$2:$B$286,$B122)</x:f>
        <x:v>0.9548742003530291</x:v>
      </x:c>
      <x:c r="M122" s="78" t="n">
        <x:f>SUMIFS('Annual partners'!$F$2:$F$286,'Annual partners'!$A$2:$A$286,M$112,'Annual partners'!$B$2:$B$286,$B122)</x:f>
        <x:v>1.1434733870058615</x:v>
      </x:c>
      <x:c r="N122" s="78" t="n">
        <x:f>SUMIFS('Annual partners'!$F$2:$F$286,'Annual partners'!$A$2:$A$286,N$112,'Annual partners'!$B$2:$B$286,$B122)</x:f>
        <x:v>1.279773501823005</x:v>
      </x:c>
      <x:c r="O122" s="78" t="n">
        <x:f>SUMIFS('Annual partners'!$F$2:$F$286,'Annual partners'!$A$2:$A$286,O$112,'Annual partners'!$B$2:$B$286,$B122)</x:f>
        <x:v>1.40666241963011</x:v>
      </x:c>
      <x:c r="P122" s="78" t="n">
        <x:f>SUMIFS('Annual partners'!$F$2:$F$286,'Annual partners'!$A$2:$A$286,P$112,'Annual partners'!$B$2:$B$286,$B122)</x:f>
        <x:v>1.5042732357575435</x:v>
      </x:c>
      <x:c r="Q122" s="78" t="n">
        <x:f>SUMIFS('Annual partners'!$F$2:$F$286,'Annual partners'!$A$2:$A$286,Q$112,'Annual partners'!$B$2:$B$286,$B122)</x:f>
        <x:v>1.8956625865613599</x:v>
      </x:c>
      <x:c r="R122" s="78" t="n">
        <x:f>SUMIFS('Annual partners'!$F$2:$F$286,'Annual partners'!$A$2:$A$286,R$112,'Annual partners'!$B$2:$B$286,$B122)</x:f>
        <x:v>2.32298175284593</x:v>
      </x:c>
      <x:c r="S122" s="78" t="n">
        <x:f>SUMIFS('Annual partners'!$F$2:$F$286,'Annual partners'!$A$2:$A$286,S$112,'Annual partners'!$B$2:$B$286,$B122)</x:f>
        <x:v>1.8798304628450913</x:v>
      </x:c>
      <x:c r="T122" s="78" t="n">
        <x:f>SUMIFS('Annual partners'!$F$2:$F$286,'Annual partners'!$A$2:$A$286,T$112,'Annual partners'!$B$2:$B$286,$B122)</x:f>
        <x:v>1.8850846940827344</x:v>
      </x:c>
      <x:c r="U122" s="78" t="n">
        <x:f>SUMIFS('Annual partners'!$F$2:$F$286,'Annual partners'!$A$2:$A$286,U$112,'Annual partners'!$B$2:$B$286,$B122)</x:f>
        <x:v>2.2800121138122025</x:v>
      </x:c>
      <x:c r="V122" s="78" t="n">
        <x:f>SUMIFS('Annual partners'!$F$2:$F$286,'Annual partners'!$A$2:$A$286,V$112,'Annual partners'!$B$2:$B$286,$B122)</x:f>
        <x:v>2.4211463221793235</x:v>
      </x:c>
      <x:c r="W122" s="78" t="n">
        <x:f>SUMIFS('Annual partners'!$F$2:$F$286,'Annual partners'!$A$2:$A$286,W$112,'Annual partners'!$B$2:$B$286,$B122)</x:f>
        <x:v>3.003844522799354</x:v>
      </x:c>
      <x:c r="X122" s="78" t="n">
        <x:f>SUMIFS('Annual partners'!$F$2:$F$286,'Annual partners'!$A$2:$A$286,X$112,'Annual partners'!$B$2:$B$286,$B122)</x:f>
        <x:v>3.348169205722799</x:v>
      </x:c>
      <x:c r="Y122" s="78" t="n">
        <x:f>SUMIFS('Annual partners'!$F$2:$F$286,'Annual partners'!$A$2:$A$286,Y$112,'Annual partners'!$B$2:$B$286,$B122)</x:f>
        <x:v>2.989883056489053</x:v>
      </x:c>
      <x:c r="Z122" s="70"/>
      <x:c r="AA122" s="46" t="str">
        <x:f>YEAR('Monthly totals'!A94)&amp;"-"&amp;IF(MONTH('Monthly totals'!A94)&lt;10,"0","")&amp;MONTH('Monthly totals'!A94)</x:f>
        <x:v>1931-09</x:v>
      </x:c>
      <x:c r="AB122" s="44" t="n">
        <x:f>'Monthly totals'!B94</x:f>
        <x:v>1149.4</x:v>
      </x:c>
      <x:c r="AC122" s="44" t="n">
        <x:f>'Monthly totals'!C94</x:f>
        <x:v>933.2</x:v>
      </x:c>
      <x:c r="AD122" s="44" t="n">
        <x:f>'Monthly totals'!D94</x:f>
        <x:v>216.20000000000005</x:v>
      </x:c>
      <x:c r="AE122" s="44" t="n">
        <x:f>MAX(AD122,0)</x:f>
        <x:v>216.20000000000005</x:v>
      </x:c>
      <x:c r="AF122" s="44" t="n">
        <x:f>MIN(AD122,0)</x:f>
        <x:v>0</x:v>
      </x:c>
      <x:c r="AI122" s="36" t="str">
        <x:f>AA115</x:f>
        <x:v>1931-02</x:v>
      </x:c>
      <x:c r="AJ122" s="68" t="n">
        <x:f>'Monthly totals'!I87</x:f>
        <x:v>58.87542642042113</x:v>
      </x:c>
      <x:c r="AK122" s="68" t="n">
        <x:f>'Monthly totals'!J87</x:f>
        <x:v>50.82361464695761</x:v>
      </x:c>
    </x:row>
    <x:row r="123" ht="18" customHeight="1">
      <x:c r="A123" s="70"/>
      <x:c r="B123" s="73" t="str">
        <x:v>Switzerland</x:v>
      </x:c>
      <x:c r="C123" s="73"/>
      <x:c r="D123" s="73"/>
      <x:c r="E123" s="73"/>
      <x:c r="F123" s="73"/>
      <x:c r="G123" s="78" t="n">
        <x:f>SUMIFS('Annual partners'!$F$2:$F$286,'Annual partners'!$A$2:$A$286,G$112,'Annual partners'!$B$2:$B$286,$B123)</x:f>
        <x:v>2.6863413465212354</x:v>
      </x:c>
      <x:c r="H123" s="78" t="n">
        <x:f>SUMIFS('Annual partners'!$F$2:$F$286,'Annual partners'!$A$2:$A$286,H$112,'Annual partners'!$B$2:$B$286,$B123)</x:f>
        <x:v>1.7652251860428534</x:v>
      </x:c>
      <x:c r="I123" s="78" t="n">
        <x:f>SUMIFS('Annual partners'!$F$2:$F$286,'Annual partners'!$A$2:$A$286,I$112,'Annual partners'!$B$2:$B$286,$B123)</x:f>
        <x:v>1.451647235052605</x:v>
      </x:c>
      <x:c r="J123" s="78" t="n">
        <x:f>SUMIFS('Annual partners'!$F$2:$F$286,'Annual partners'!$A$2:$A$286,J$112,'Annual partners'!$B$2:$B$286,$B123)</x:f>
        <x:v>3.5099499889666737</x:v>
      </x:c>
      <x:c r="K123" s="78" t="n">
        <x:f>SUMIFS('Annual partners'!$F$2:$F$286,'Annual partners'!$A$2:$A$286,K$112,'Annual partners'!$B$2:$B$286,$B123)</x:f>
        <x:v>2.6442975279381873</x:v>
      </x:c>
      <x:c r="L123" s="78" t="n">
        <x:f>SUMIFS('Annual partners'!$F$2:$F$286,'Annual partners'!$A$2:$A$286,L$112,'Annual partners'!$B$2:$B$286,$B123)</x:f>
        <x:v>2.9606849072408985</x:v>
      </x:c>
      <x:c r="M123" s="78" t="n">
        <x:f>SUMIFS('Annual partners'!$F$2:$F$286,'Annual partners'!$A$2:$A$286,M$112,'Annual partners'!$B$2:$B$286,$B123)</x:f>
        <x:v>2.890948922465969</x:v>
      </x:c>
      <x:c r="N123" s="78" t="n">
        <x:f>SUMIFS('Annual partners'!$F$2:$F$286,'Annual partners'!$A$2:$A$286,N$112,'Annual partners'!$B$2:$B$286,$B123)</x:f>
        <x:v>2.586812365343133</x:v>
      </x:c>
      <x:c r="O123" s="78" t="n">
        <x:f>SUMIFS('Annual partners'!$F$2:$F$286,'Annual partners'!$A$2:$A$286,O$112,'Annual partners'!$B$2:$B$286,$B123)</x:f>
        <x:v>2.9187704551184495</x:v>
      </x:c>
      <x:c r="P123" s="78" t="n">
        <x:f>SUMIFS('Annual partners'!$F$2:$F$286,'Annual partners'!$A$2:$A$286,P$112,'Annual partners'!$B$2:$B$286,$B123)</x:f>
        <x:v>2.7274968194586737</x:v>
      </x:c>
      <x:c r="Q123" s="78" t="n">
        <x:f>SUMIFS('Annual partners'!$F$2:$F$286,'Annual partners'!$A$2:$A$286,Q$112,'Annual partners'!$B$2:$B$286,$B123)</x:f>
        <x:v>2.8879806557637484</x:v>
      </x:c>
      <x:c r="R123" s="78" t="n">
        <x:f>SUMIFS('Annual partners'!$F$2:$F$286,'Annual partners'!$A$2:$A$286,R$112,'Annual partners'!$B$2:$B$286,$B123)</x:f>
        <x:v>3.5514947343957246</x:v>
      </x:c>
      <x:c r="S123" s="78" t="n">
        <x:f>SUMIFS('Annual partners'!$F$2:$F$286,'Annual partners'!$A$2:$A$286,S$112,'Annual partners'!$B$2:$B$286,$B123)</x:f>
        <x:v>4.179012404134802</x:v>
      </x:c>
      <x:c r="T123" s="78" t="n">
        <x:f>SUMIFS('Annual partners'!$F$2:$F$286,'Annual partners'!$A$2:$A$286,T$112,'Annual partners'!$B$2:$B$286,$B123)</x:f>
        <x:v>4.555005104656861</x:v>
      </x:c>
      <x:c r="U123" s="78" t="n">
        <x:f>SUMIFS('Annual partners'!$F$2:$F$286,'Annual partners'!$A$2:$A$286,U$112,'Annual partners'!$B$2:$B$286,$B123)</x:f>
        <x:v>4.186455555907754</x:v>
      </x:c>
      <x:c r="V123" s="78" t="n">
        <x:f>SUMIFS('Annual partners'!$F$2:$F$286,'Annual partners'!$A$2:$A$286,V$112,'Annual partners'!$B$2:$B$286,$B123)</x:f>
        <x:v>9.824266807304562</x:v>
      </x:c>
      <x:c r="W123" s="78" t="n">
        <x:f>SUMIFS('Annual partners'!$F$2:$F$286,'Annual partners'!$A$2:$A$286,W$112,'Annual partners'!$B$2:$B$286,$B123)</x:f>
        <x:v>4.052825853669219</x:v>
      </x:c>
      <x:c r="X123" s="78" t="n">
        <x:f>SUMIFS('Annual partners'!$F$2:$F$286,'Annual partners'!$A$2:$A$286,X$112,'Annual partners'!$B$2:$B$286,$B123)</x:f>
        <x:v>3.8138417921618126</x:v>
      </x:c>
      <x:c r="Y123" s="78" t="n">
        <x:f>SUMIFS('Annual partners'!$F$2:$F$286,'Annual partners'!$A$2:$A$286,Y$112,'Annual partners'!$B$2:$B$286,$B123)</x:f>
        <x:v>3.3025505656643785</x:v>
      </x:c>
      <x:c r="Z123" s="70"/>
      <x:c r="AA123" s="46" t="str">
        <x:f>YEAR('Monthly totals'!A95)&amp;"-"&amp;IF(MONTH('Monthly totals'!A95)&lt;10,"0","")&amp;MONTH('Monthly totals'!A95)</x:f>
        <x:v>1931-10</x:v>
      </x:c>
      <x:c r="AB123" s="44" t="n">
        <x:f>'Monthly totals'!B95</x:f>
        <x:v>1159.5</x:v>
      </x:c>
      <x:c r="AC123" s="44" t="n">
        <x:f>'Monthly totals'!C95</x:f>
        <x:v>1093.9</x:v>
      </x:c>
      <x:c r="AD123" s="44" t="n">
        <x:f>'Monthly totals'!D95</x:f>
        <x:v>65.59999999999991</x:v>
      </x:c>
      <x:c r="AE123" s="44" t="n">
        <x:f>MAX(AD123,0)</x:f>
        <x:v>65.59999999999991</x:v>
      </x:c>
      <x:c r="AF123" s="44" t="n">
        <x:f>MIN(AD123,0)</x:f>
        <x:v>0</x:v>
      </x:c>
      <x:c r="AI123" s="36" t="str">
        <x:f>AA116</x:f>
        <x:v>1931-03</x:v>
      </x:c>
      <x:c r="AJ123" s="68" t="n">
        <x:f>'Monthly totals'!I88</x:f>
        <x:v>63.69250676391014</x:v>
      </x:c>
      <x:c r="AK123" s="68" t="n">
        <x:f>'Monthly totals'!J88</x:f>
        <x:v>52.98503708026847</x:v>
      </x:c>
    </x:row>
    <x:row r="124" ht="18" customHeight="1">
      <x:c r="A124" s="70"/>
      <x:c r="B124" s="73" t="str">
        <x:v>United Kingdom</x:v>
      </x:c>
      <x:c r="C124" s="73"/>
      <x:c r="D124" s="73"/>
      <x:c r="E124" s="73"/>
      <x:c r="F124" s="73"/>
      <x:c r="G124" s="78" t="n">
        <x:f>SUMIFS('Annual partners'!$F$2:$F$286,'Annual partners'!$A$2:$A$286,G$112,'Annual partners'!$B$2:$B$286,$B124)</x:f>
        <x:v>2.8511690792712328</x:v>
      </x:c>
      <x:c r="H124" s="78" t="n">
        <x:f>SUMIFS('Annual partners'!$F$2:$F$286,'Annual partners'!$A$2:$A$286,H$112,'Annual partners'!$B$2:$B$286,$B124)</x:f>
        <x:v>7.142372675834929</x:v>
      </x:c>
      <x:c r="I124" s="78" t="n">
        <x:f>SUMIFS('Annual partners'!$F$2:$F$286,'Annual partners'!$A$2:$A$286,I$112,'Annual partners'!$B$2:$B$286,$B124)</x:f>
        <x:v>6.8609432477749435</x:v>
      </x:c>
      <x:c r="J124" s="78" t="n">
        <x:f>SUMIFS('Annual partners'!$F$2:$F$286,'Annual partners'!$A$2:$A$286,J$112,'Annual partners'!$B$2:$B$286,$B124)</x:f>
        <x:v>8.76768245194749</x:v>
      </x:c>
      <x:c r="K124" s="78" t="n">
        <x:f>SUMIFS('Annual partners'!$F$2:$F$286,'Annual partners'!$A$2:$A$286,K$112,'Annual partners'!$B$2:$B$286,$B124)</x:f>
        <x:v>9.31136532069297</x:v>
      </x:c>
      <x:c r="L124" s="78" t="n">
        <x:f>SUMIFS('Annual partners'!$F$2:$F$286,'Annual partners'!$A$2:$A$286,L$112,'Annual partners'!$B$2:$B$286,$B124)</x:f>
        <x:v>8.156980897734131</x:v>
      </x:c>
      <x:c r="M124" s="78" t="n">
        <x:f>SUMIFS('Annual partners'!$F$2:$F$286,'Annual partners'!$A$2:$A$286,M$112,'Annual partners'!$B$2:$B$286,$B124)</x:f>
        <x:v>8.625222810285004</x:v>
      </x:c>
      <x:c r="N124" s="78" t="n">
        <x:f>SUMIFS('Annual partners'!$F$2:$F$286,'Annual partners'!$A$2:$A$286,N$112,'Annual partners'!$B$2:$B$286,$B124)</x:f>
        <x:v>7.546431321732362</x:v>
      </x:c>
      <x:c r="O124" s="78" t="n">
        <x:f>SUMIFS('Annual partners'!$F$2:$F$286,'Annual partners'!$A$2:$A$286,O$112,'Annual partners'!$B$2:$B$286,$B124)</x:f>
        <x:v>6.963165792122967</x:v>
      </x:c>
      <x:c r="P124" s="78" t="n">
        <x:f>SUMIFS('Annual partners'!$F$2:$F$286,'Annual partners'!$A$2:$A$286,P$112,'Annual partners'!$B$2:$B$286,$B124)</x:f>
        <x:v>6.927855385582493</x:v>
      </x:c>
      <x:c r="Q124" s="78" t="n">
        <x:f>SUMIFS('Annual partners'!$F$2:$F$286,'Annual partners'!$A$2:$A$286,Q$112,'Annual partners'!$B$2:$B$286,$B124)</x:f>
        <x:v>7.884961266431236</x:v>
      </x:c>
      <x:c r="R124" s="78" t="n">
        <x:f>SUMIFS('Annual partners'!$F$2:$F$286,'Annual partners'!$A$2:$A$286,R$112,'Annual partners'!$B$2:$B$286,$B124)</x:f>
        <x:v>10.312263083170455</x:v>
      </x:c>
      <x:c r="S124" s="78" t="n">
        <x:f>SUMIFS('Annual partners'!$F$2:$F$286,'Annual partners'!$A$2:$A$286,S$112,'Annual partners'!$B$2:$B$286,$B124)</x:f>
        <x:v>5.492505976144125</x:v>
      </x:c>
      <x:c r="T124" s="78" t="n">
        <x:f>SUMIFS('Annual partners'!$F$2:$F$286,'Annual partners'!$A$2:$A$286,T$112,'Annual partners'!$B$2:$B$286,$B124)</x:f>
        <x:v>6.077977411196951</x:v>
      </x:c>
      <x:c r="U124" s="78" t="n">
        <x:f>SUMIFS('Annual partners'!$F$2:$F$286,'Annual partners'!$A$2:$A$286,U$112,'Annual partners'!$B$2:$B$286,$B124)</x:f>
        <x:v>6.39446815383334</x:v>
      </x:c>
      <x:c r="V124" s="78" t="n">
        <x:f>SUMIFS('Annual partners'!$F$2:$F$286,'Annual partners'!$A$2:$A$286,V$112,'Annual partners'!$B$2:$B$286,$B124)</x:f>
        <x:v>6.883404564615852</x:v>
      </x:c>
      <x:c r="W124" s="78" t="n">
        <x:f>SUMIFS('Annual partners'!$F$2:$F$286,'Annual partners'!$A$2:$A$286,W$112,'Annual partners'!$B$2:$B$286,$B124)</x:f>
        <x:v>8.996601449809168</x:v>
      </x:c>
      <x:c r="X124" s="78" t="n">
        <x:f>SUMIFS('Annual partners'!$F$2:$F$286,'Annual partners'!$A$2:$A$286,X$112,'Annual partners'!$B$2:$B$286,$B124)</x:f>
        <x:v>8.671691479727219</x:v>
      </x:c>
      <x:c r="Y124" s="78" t="n">
        <x:f>SUMIFS('Annual partners'!$F$2:$F$286,'Annual partners'!$A$2:$A$286,Y$112,'Annual partners'!$B$2:$B$286,$B124)</x:f>
        <x:v>9.194378941686924</x:v>
      </x:c>
      <x:c r="Z124" s="70"/>
      <x:c r="AA124" s="46" t="str">
        <x:f>YEAR('Monthly totals'!A96)&amp;"-"&amp;IF(MONTH('Monthly totals'!A96)&lt;10,"0","")&amp;MONTH('Monthly totals'!A96)</x:f>
        <x:v>1931-11</x:v>
      </x:c>
      <x:c r="AB124" s="44" t="n">
        <x:f>'Monthly totals'!B96</x:f>
        <x:v>1092.8</x:v>
      </x:c>
      <x:c r="AC124" s="44" t="n">
        <x:f>'Monthly totals'!C96</x:f>
        <x:v>1018.5</x:v>
      </x:c>
      <x:c r="AD124" s="44" t="n">
        <x:f>'Monthly totals'!D96</x:f>
        <x:v>74.29999999999995</x:v>
      </x:c>
      <x:c r="AE124" s="44" t="n">
        <x:f>MAX(AD124,0)</x:f>
        <x:v>74.29999999999995</x:v>
      </x:c>
      <x:c r="AF124" s="44" t="n">
        <x:f>MIN(AD124,0)</x:f>
        <x:v>0</x:v>
      </x:c>
      <x:c r="AI124" s="36" t="str">
        <x:f>AA117</x:f>
        <x:v>1931-04</x:v>
      </x:c>
      <x:c r="AJ124" s="68" t="n">
        <x:f>'Monthly totals'!I89</x:f>
        <x:v>68.63310198800141</x:v>
      </x:c>
      <x:c r="AK124" s="68" t="n">
        <x:f>'Monthly totals'!J89</x:f>
        <x:v>60.5983155395003</x:v>
      </x:c>
    </x:row>
    <x:row r="125" ht="18" customHeight="1">
      <x:c r="A125" s="70"/>
      <x:c r="B125" s="73" t="str">
        <x:v>United States</x:v>
      </x:c>
      <x:c r="C125" s="73"/>
      <x:c r="D125" s="73"/>
      <x:c r="E125" s="73"/>
      <x:c r="F125" s="73"/>
      <x:c r="G125" s="78" t="n">
        <x:f>SUMIFS('Annual partners'!$F$2:$F$286,'Annual partners'!$A$2:$A$286,G$112,'Annual partners'!$B$2:$B$286,$B125)</x:f>
        <x:v>1.908694624325859</x:v>
      </x:c>
      <x:c r="H125" s="78" t="n">
        <x:f>SUMIFS('Annual partners'!$F$2:$F$286,'Annual partners'!$A$2:$A$286,H$112,'Annual partners'!$B$2:$B$286,$B125)</x:f>
        <x:v>2.61660008259896</x:v>
      </x:c>
      <x:c r="I125" s="78" t="n">
        <x:f>SUMIFS('Annual partners'!$F$2:$F$286,'Annual partners'!$A$2:$A$286,I$112,'Annual partners'!$B$2:$B$286,$B125)</x:f>
        <x:v>4.744961115973422</x:v>
      </x:c>
      <x:c r="J125" s="78" t="n">
        <x:f>SUMIFS('Annual partners'!$F$2:$F$286,'Annual partners'!$A$2:$A$286,J$112,'Annual partners'!$B$2:$B$286,$B125)</x:f>
        <x:v>4.0062339013410595</x:v>
      </x:c>
      <x:c r="K125" s="78" t="n">
        <x:f>SUMIFS('Annual partners'!$F$2:$F$286,'Annual partners'!$A$2:$A$286,K$112,'Annual partners'!$B$2:$B$286,$B125)</x:f>
        <x:v>4.220805236162985</x:v>
      </x:c>
      <x:c r="L125" s="78" t="n">
        <x:f>SUMIFS('Annual partners'!$F$2:$F$286,'Annual partners'!$A$2:$A$286,L$112,'Annual partners'!$B$2:$B$286,$B125)</x:f>
        <x:v>4.016833643995007</x:v>
      </x:c>
      <x:c r="M125" s="78" t="n">
        <x:f>SUMIFS('Annual partners'!$F$2:$F$286,'Annual partners'!$A$2:$A$286,M$112,'Annual partners'!$B$2:$B$286,$B125)</x:f>
        <x:v>4.732322728023915</x:v>
      </x:c>
      <x:c r="N125" s="78" t="n">
        <x:f>SUMIFS('Annual partners'!$F$2:$F$286,'Annual partners'!$A$2:$A$286,N$112,'Annual partners'!$B$2:$B$286,$B125)</x:f>
        <x:v>5.02833859387613</x:v>
      </x:c>
      <x:c r="O125" s="78" t="n">
        <x:f>SUMIFS('Annual partners'!$F$2:$F$286,'Annual partners'!$A$2:$A$286,O$112,'Annual partners'!$B$2:$B$286,$B125)</x:f>
        <x:v>5.514631380172388</x:v>
      </x:c>
      <x:c r="P125" s="78" t="n">
        <x:f>SUMIFS('Annual partners'!$F$2:$F$286,'Annual partners'!$A$2:$A$286,P$112,'Annual partners'!$B$2:$B$286,$B125)</x:f>
        <x:v>7.180644941923382</x:v>
      </x:c>
      <x:c r="Q125" s="78" t="n">
        <x:f>SUMIFS('Annual partners'!$F$2:$F$286,'Annual partners'!$A$2:$A$286,Q$112,'Annual partners'!$B$2:$B$286,$B125)</x:f>
        <x:v>5.590940733210284</x:v>
      </x:c>
      <x:c r="R125" s="78" t="n">
        <x:f>SUMIFS('Annual partners'!$F$2:$F$286,'Annual partners'!$A$2:$A$286,R$112,'Annual partners'!$B$2:$B$286,$B125)</x:f>
        <x:v>6.119575253397628</x:v>
      </x:c>
      <x:c r="S125" s="78" t="n">
        <x:f>SUMIFS('Annual partners'!$F$2:$F$286,'Annual partners'!$A$2:$A$286,S$112,'Annual partners'!$B$2:$B$286,$B125)</x:f>
        <x:v>6.839590415982921</x:v>
      </x:c>
      <x:c r="T125" s="78" t="n">
        <x:f>SUMIFS('Annual partners'!$F$2:$F$286,'Annual partners'!$A$2:$A$286,T$112,'Annual partners'!$B$2:$B$286,$B125)</x:f>
        <x:v>7.226613842289655</x:v>
      </x:c>
      <x:c r="U125" s="78" t="n">
        <x:f>SUMIFS('Annual partners'!$F$2:$F$286,'Annual partners'!$A$2:$A$286,U$112,'Annual partners'!$B$2:$B$286,$B125)</x:f>
        <x:v>6.780633653372347</x:v>
      </x:c>
      <x:c r="V125" s="78" t="n">
        <x:f>SUMIFS('Annual partners'!$F$2:$F$286,'Annual partners'!$A$2:$A$286,V$112,'Annual partners'!$B$2:$B$286,$B125)</x:f>
        <x:v>7.742886341148324</x:v>
      </x:c>
      <x:c r="W125" s="78" t="n">
        <x:f>SUMIFS('Annual partners'!$F$2:$F$286,'Annual partners'!$A$2:$A$286,W$112,'Annual partners'!$B$2:$B$286,$B125)</x:f>
        <x:v>9.067529013106418</x:v>
      </x:c>
      <x:c r="X125" s="78" t="n">
        <x:f>SUMIFS('Annual partners'!$F$2:$F$286,'Annual partners'!$A$2:$A$286,X$112,'Annual partners'!$B$2:$B$286,$B125)</x:f>
        <x:v>9.277566565309161</x:v>
      </x:c>
      <x:c r="Y125" s="78" t="n">
        <x:f>SUMIFS('Annual partners'!$F$2:$F$286,'Annual partners'!$A$2:$A$286,Y$112,'Annual partners'!$B$2:$B$286,$B125)</x:f>
        <x:v>6.458538236402823</x:v>
      </x:c>
      <x:c r="Z125" s="70"/>
      <x:c r="AA125" s="46" t="str">
        <x:f>YEAR('Monthly totals'!A97)&amp;"-"&amp;IF(MONTH('Monthly totals'!A97)&lt;10,"0","")&amp;MONTH('Monthly totals'!A97)</x:f>
        <x:v>1931-12</x:v>
      </x:c>
      <x:c r="AB125" s="44" t="n">
        <x:f>'Monthly totals'!B97</x:f>
        <x:v>1147.7</x:v>
      </x:c>
      <x:c r="AC125" s="44" t="n">
        <x:f>'Monthly totals'!C97</x:f>
        <x:v>1217.5</x:v>
      </x:c>
      <x:c r="AD125" s="44" t="n">
        <x:f>'Monthly totals'!D97</x:f>
        <x:v>-69.79999999999995</x:v>
      </x:c>
      <x:c r="AE125" s="44" t="n">
        <x:f>MAX(AD125,0)</x:f>
        <x:v>0</x:v>
      </x:c>
      <x:c r="AF125" s="44" t="n">
        <x:f>MIN(AD125,0)</x:f>
        <x:v>-69.79999999999995</x:v>
      </x:c>
      <x:c r="AI125" s="36" t="str">
        <x:f>AA118</x:f>
        <x:v>1931-05</x:v>
      </x:c>
      <x:c r="AJ125" s="68" t="n">
        <x:f>'Monthly totals'!I90</x:f>
        <x:v>64.32184448888366</x:v>
      </x:c>
      <x:c r="AK125" s="68" t="n">
        <x:f>'Monthly totals'!J90</x:f>
        <x:v>57.48296923897403</x:v>
      </x:c>
    </x:row>
    <x:row r="126" ht="18" customHeight="1">
      <x:c r="A126" s="70"/>
      <x:c r="B126" s="73" t="str">
        <x:v>USSR</x:v>
      </x:c>
      <x:c r="C126" s="73"/>
      <x:c r="D126" s="73"/>
      <x:c r="E126" s="73"/>
      <x:c r="F126" s="73"/>
      <x:c r="G126" s="78" t="n">
        <x:f>SUMIFS('Annual partners'!$F$2:$F$286,'Annual partners'!$A$2:$A$286,G$112,'Annual partners'!$B$2:$B$286,$B126)</x:f>
        <x:v>0.4418786026914826</x:v>
      </x:c>
      <x:c r="H126" s="78" t="n">
        <x:f>SUMIFS('Annual partners'!$F$2:$F$286,'Annual partners'!$A$2:$A$286,H$112,'Annual partners'!$B$2:$B$286,$B126)</x:f>
        <x:v>0.45149028796865287</x:v>
      </x:c>
      <x:c r="I126" s="78" t="n">
        <x:f>SUMIFS('Annual partners'!$F$2:$F$286,'Annual partners'!$A$2:$A$286,I$112,'Annual partners'!$B$2:$B$286,$B126)</x:f>
        <x:v>0.4736954135434816</x:v>
      </x:c>
      <x:c r="J126" s="78" t="n">
        <x:f>SUMIFS('Annual partners'!$F$2:$F$286,'Annual partners'!$A$2:$A$286,J$112,'Annual partners'!$B$2:$B$286,$B126)</x:f>
        <x:v>0.06473268422274603</x:v>
      </x:c>
      <x:c r="K126" s="78" t="n">
        <x:f>SUMIFS('Annual partners'!$F$2:$F$286,'Annual partners'!$A$2:$A$286,K$112,'Annual partners'!$B$2:$B$286,$B126)</x:f>
        <x:v>0.4264185555058224</x:v>
      </x:c>
      <x:c r="L126" s="78" t="n">
        <x:f>SUMIFS('Annual partners'!$F$2:$F$286,'Annual partners'!$A$2:$A$286,L$112,'Annual partners'!$B$2:$B$286,$B126)</x:f>
        <x:v>2.1461318078979157</x:v>
      </x:c>
      <x:c r="M126" s="78" t="n">
        <x:f>SUMIFS('Annual partners'!$F$2:$F$286,'Annual partners'!$A$2:$A$286,M$112,'Annual partners'!$B$2:$B$286,$B126)</x:f>
        <x:v>0.8727269346798562</x:v>
      </x:c>
      <x:c r="N126" s="78" t="n">
        <x:f>SUMIFS('Annual partners'!$F$2:$F$286,'Annual partners'!$A$2:$A$286,N$112,'Annual partners'!$B$2:$B$286,$B126)</x:f>
        <x:v>0.9448267278814596</x:v>
      </x:c>
      <x:c r="O126" s="78" t="n">
        <x:f>SUMIFS('Annual partners'!$F$2:$F$286,'Annual partners'!$A$2:$A$286,O$112,'Annual partners'!$B$2:$B$286,$B126)</x:f>
        <x:v>1.3160018056737186</x:v>
      </x:c>
      <x:c r="P126" s="78" t="n">
        <x:f>SUMIFS('Annual partners'!$F$2:$F$286,'Annual partners'!$A$2:$A$286,P$112,'Annual partners'!$B$2:$B$286,$B126)</x:f>
        <x:v>1.262152560709569</x:v>
      </x:c>
      <x:c r="Q126" s="78" t="n">
        <x:f>SUMIFS('Annual partners'!$F$2:$F$286,'Annual partners'!$A$2:$A$286,Q$112,'Annual partners'!$B$2:$B$286,$B126)</x:f>
        <x:v>1.8779331169781017</x:v>
      </x:c>
      <x:c r="R126" s="78" t="n">
        <x:f>SUMIFS('Annual partners'!$F$2:$F$286,'Annual partners'!$A$2:$A$286,R$112,'Annual partners'!$B$2:$B$286,$B126)</x:f>
        <x:v>3.7224836157836334</x:v>
      </x:c>
      <x:c r="S126" s="78" t="n">
        <x:f>SUMIFS('Annual partners'!$F$2:$F$286,'Annual partners'!$A$2:$A$286,S$112,'Annual partners'!$B$2:$B$286,$B126)</x:f>
        <x:v>1.634277566359889</x:v>
      </x:c>
      <x:c r="T126" s="78" t="n">
        <x:f>SUMIFS('Annual partners'!$F$2:$F$286,'Annual partners'!$A$2:$A$286,T$112,'Annual partners'!$B$2:$B$286,$B126)</x:f>
        <x:v>1.3073729411484643</x:v>
      </x:c>
      <x:c r="U126" s="78" t="n">
        <x:f>SUMIFS('Annual partners'!$F$2:$F$286,'Annual partners'!$A$2:$A$286,U$112,'Annual partners'!$B$2:$B$286,$B126)</x:f>
        <x:v>0.4382680651615516</x:v>
      </x:c>
      <x:c r="V126" s="78" t="n">
        <x:f>SUMIFS('Annual partners'!$F$2:$F$286,'Annual partners'!$A$2:$A$286,V$112,'Annual partners'!$B$2:$B$286,$B126)</x:f>
        <x:v>1.3112445258372427</x:v>
      </x:c>
      <x:c r="W126" s="78" t="n">
        <x:f>SUMIFS('Annual partners'!$F$2:$F$286,'Annual partners'!$A$2:$A$286,W$112,'Annual partners'!$B$2:$B$286,$B126)</x:f>
        <x:v>2.24728384762868</x:v>
      </x:c>
      <x:c r="X126" s="78" t="n">
        <x:f>SUMIFS('Annual partners'!$F$2:$F$286,'Annual partners'!$A$2:$A$286,X$112,'Annual partners'!$B$2:$B$286,$B126)</x:f>
        <x:v>0.7844663642521015</x:v>
      </x:c>
      <x:c r="Y126" s="78" t="n">
        <x:f>SUMIFS('Annual partners'!$F$2:$F$286,'Annual partners'!$A$2:$A$286,Y$112,'Annual partners'!$B$2:$B$286,$B126)</x:f>
        <x:v>2.3254645994914855</x:v>
      </x:c>
      <x:c r="Z126" s="70"/>
      <x:c r="AA126" s="46" t="str">
        <x:f>YEAR('Monthly totals'!A98)&amp;"-"&amp;IF(MONTH('Monthly totals'!A98)&lt;10,"0","")&amp;MONTH('Monthly totals'!A98)</x:f>
        <x:v>1932-01</x:v>
      </x:c>
      <x:c r="AB126" s="44" t="n">
        <x:f>'Monthly totals'!B98</x:f>
        <x:v>575</x:v>
      </x:c>
      <x:c r="AC126" s="44" t="n">
        <x:f>'Monthly totals'!C98</x:f>
        <x:v>704.7</x:v>
      </x:c>
      <x:c r="AD126" s="44" t="n">
        <x:f>'Monthly totals'!D98</x:f>
        <x:v>-129.70000000000005</x:v>
      </x:c>
      <x:c r="AE126" s="44" t="n">
        <x:f>MAX(AD126,0)</x:f>
        <x:v>0</x:v>
      </x:c>
      <x:c r="AF126" s="44" t="n">
        <x:f>MIN(AD126,0)</x:f>
        <x:v>-129.70000000000005</x:v>
      </x:c>
      <x:c r="AI126" s="36" t="str">
        <x:f>AA119</x:f>
        <x:v>1931-06</x:v>
      </x:c>
      <x:c r="AJ126" s="68" t="n">
        <x:f>'Monthly totals'!I91</x:f>
        <x:v>60.93400776379249</x:v>
      </x:c>
      <x:c r="AK126" s="68" t="n">
        <x:f>'Monthly totals'!J91</x:f>
        <x:v>58.91989253262762</x:v>
      </x:c>
    </x:row>
    <x:row r="127" ht="18" customHeight="1">
      <x:c r="A127" s="70"/>
      <x:c r="B127" s="73" t="str">
        <x:v>Yugoslavia</x:v>
      </x:c>
      <x:c r="C127" s="73"/>
      <x:c r="D127" s="73"/>
      <x:c r="E127" s="73"/>
      <x:c r="F127" s="73"/>
      <x:c r="G127" s="78" t="n">
        <x:f>SUMIFS('Annual partners'!$F$2:$F$286,'Annual partners'!$A$2:$A$286,G$112,'Annual partners'!$B$2:$B$286,$B127)</x:f>
        <x:v>3.7945448262871757</x:v>
      </x:c>
      <x:c r="H127" s="78" t="n">
        <x:f>SUMIFS('Annual partners'!$F$2:$F$286,'Annual partners'!$A$2:$A$286,H$112,'Annual partners'!$B$2:$B$286,$B127)</x:f>
        <x:v>6.816484949180865</x:v>
      </x:c>
      <x:c r="I127" s="78" t="n">
        <x:f>SUMIFS('Annual partners'!$F$2:$F$286,'Annual partners'!$A$2:$A$286,I$112,'Annual partners'!$B$2:$B$286,$B127)</x:f>
        <x:v>3.9831162730215337</x:v>
      </x:c>
      <x:c r="J127" s="78" t="n">
        <x:f>SUMIFS('Annual partners'!$F$2:$F$286,'Annual partners'!$A$2:$A$286,J$112,'Annual partners'!$B$2:$B$286,$B127)</x:f>
        <x:v>3.9415012171183137</x:v>
      </x:c>
      <x:c r="K127" s="78" t="n">
        <x:f>SUMIFS('Annual partners'!$F$2:$F$286,'Annual partners'!$A$2:$A$286,K$112,'Annual partners'!$B$2:$B$286,$B127)</x:f>
        <x:v>4.869854640710873</x:v>
      </x:c>
      <x:c r="L127" s="78" t="n">
        <x:f>SUMIFS('Annual partners'!$F$2:$F$286,'Annual partners'!$A$2:$A$286,L$112,'Annual partners'!$B$2:$B$286,$B127)</x:f>
        <x:v>4.359677251903952</x:v>
      </x:c>
      <x:c r="M127" s="78" t="n">
        <x:f>SUMIFS('Annual partners'!$F$2:$F$286,'Annual partners'!$A$2:$A$286,M$112,'Annual partners'!$B$2:$B$286,$B127)</x:f>
        <x:v>5.3950371961361645</x:v>
      </x:c>
      <x:c r="N127" s="78" t="n">
        <x:f>SUMIFS('Annual partners'!$F$2:$F$286,'Annual partners'!$A$2:$A$286,N$112,'Annual partners'!$B$2:$B$286,$B127)</x:f>
        <x:v>4.601310386195722</x:v>
      </x:c>
      <x:c r="O127" s="78" t="n">
        <x:f>SUMIFS('Annual partners'!$F$2:$F$286,'Annual partners'!$A$2:$A$286,O$112,'Annual partners'!$B$2:$B$286,$B127)</x:f>
        <x:v>4.466856270887997</x:v>
      </x:c>
      <x:c r="P127" s="78" t="n">
        <x:f>SUMIFS('Annual partners'!$F$2:$F$286,'Annual partners'!$A$2:$A$286,P$112,'Annual partners'!$B$2:$B$286,$B127)</x:f>
        <x:v>5.632481479831887</x:v>
      </x:c>
      <x:c r="Q127" s="78" t="n">
        <x:f>SUMIFS('Annual partners'!$F$2:$F$286,'Annual partners'!$A$2:$A$286,Q$112,'Annual partners'!$B$2:$B$286,$B127)</x:f>
        <x:v>8.701346684268707</x:v>
      </x:c>
      <x:c r="R127" s="78" t="n">
        <x:f>SUMIFS('Annual partners'!$F$2:$F$286,'Annual partners'!$A$2:$A$286,R$112,'Annual partners'!$B$2:$B$286,$B127)</x:f>
        <x:v>6.328908110054966</x:v>
      </x:c>
      <x:c r="S127" s="78" t="n">
        <x:f>SUMIFS('Annual partners'!$F$2:$F$286,'Annual partners'!$A$2:$A$286,S$112,'Annual partners'!$B$2:$B$286,$B127)</x:f>
        <x:v>5.4668833004820145</x:v>
      </x:c>
      <x:c r="T127" s="78" t="n">
        <x:f>SUMIFS('Annual partners'!$F$2:$F$286,'Annual partners'!$A$2:$A$286,T$112,'Annual partners'!$B$2:$B$286,$B127)</x:f>
        <x:v>3.3286549790537703</x:v>
      </x:c>
      <x:c r="U127" s="78" t="n">
        <x:f>SUMIFS('Annual partners'!$F$2:$F$286,'Annual partners'!$A$2:$A$286,U$112,'Annual partners'!$B$2:$B$286,$B127)</x:f>
        <x:v>3.5378012552642875</x:v>
      </x:c>
      <x:c r="V127" s="78" t="n">
        <x:f>SUMIFS('Annual partners'!$F$2:$F$286,'Annual partners'!$A$2:$A$286,V$112,'Annual partners'!$B$2:$B$286,$B127)</x:f>
        <x:v>4.002945140775691</x:v>
      </x:c>
      <x:c r="W127" s="78" t="n">
        <x:f>SUMIFS('Annual partners'!$F$2:$F$286,'Annual partners'!$A$2:$A$286,W$112,'Annual partners'!$B$2:$B$286,$B127)</x:f>
        <x:v>5.348187141255851</x:v>
      </x:c>
      <x:c r="X127" s="78" t="n">
        <x:f>SUMIFS('Annual partners'!$F$2:$F$286,'Annual partners'!$A$2:$A$286,X$112,'Annual partners'!$B$2:$B$286,$B127)</x:f>
        <x:v>4.97134694877635</x:v>
      </x:c>
      <x:c r="Y127" s="78" t="n">
        <x:f>SUMIFS('Annual partners'!$F$2:$F$286,'Annual partners'!$A$2:$A$286,Y$112,'Annual partners'!$B$2:$B$286,$B127)</x:f>
        <x:v>6.145870727227497</x:v>
      </x:c>
      <x:c r="Z127" s="70"/>
      <x:c r="AA127" s="46" t="str">
        <x:f>YEAR('Monthly totals'!A99)&amp;"-"&amp;IF(MONTH('Monthly totals'!A99)&lt;10,"0","")&amp;MONTH('Monthly totals'!A99)</x:f>
        <x:v>1932-02</x:v>
      </x:c>
      <x:c r="AB127" s="44" t="n">
        <x:f>'Monthly totals'!B99</x:f>
        <x:v>567.1</x:v>
      </x:c>
      <x:c r="AC127" s="44" t="n">
        <x:f>'Monthly totals'!C99</x:f>
        <x:v>607.1</x:v>
      </x:c>
      <x:c r="AD127" s="44" t="n">
        <x:f>'Monthly totals'!D99</x:f>
        <x:v>-40</x:v>
      </x:c>
      <x:c r="AE127" s="44" t="n">
        <x:f>MAX(AD127,0)</x:f>
        <x:v>0</x:v>
      </x:c>
      <x:c r="AF127" s="44" t="n">
        <x:f>MIN(AD127,0)</x:f>
        <x:v>-40</x:v>
      </x:c>
      <x:c r="AI127" s="36" t="str">
        <x:f>AA120</x:f>
        <x:v>1931-07</x:v>
      </x:c>
      <x:c r="AJ127" s="68" t="n">
        <x:f>'Monthly totals'!I92</x:f>
        <x:v>64.65709916480414</x:v>
      </x:c>
      <x:c r="AK127" s="68" t="n">
        <x:f>'Monthly totals'!J92</x:f>
        <x:v>60.99075257348132</x:v>
      </x:c>
    </x:row>
    <x:row r="128" ht="18" customHeight="1">
      <x:c r="A128" s="70"/>
      <x:c r="B128" s="70"/>
      <x:c r="C128" s="70"/>
      <x:c r="D128" s="70"/>
      <x:c r="E128" s="70"/>
      <x:c r="F128" s="70"/>
      <x:c r="G128" s="70"/>
      <x:c r="H128" s="70"/>
      <x:c r="I128" s="70"/>
      <x:c r="J128" s="70"/>
      <x:c r="K128" s="70"/>
      <x:c r="L128" s="70"/>
      <x:c r="M128" s="70"/>
      <x:c r="N128" s="70"/>
      <x:c r="O128" s="70"/>
      <x:c r="P128" s="70"/>
      <x:c r="Q128" s="70"/>
      <x:c r="R128" s="70"/>
      <x:c r="S128" s="70"/>
      <x:c r="T128" s="70"/>
      <x:c r="U128" s="70"/>
      <x:c r="V128" s="70"/>
      <x:c r="W128" s="70"/>
      <x:c r="X128" s="70"/>
      <x:c r="Y128" s="70"/>
      <x:c r="Z128" s="70"/>
      <x:c r="AA128" s="46" t="str">
        <x:f>YEAR('Monthly totals'!A100)&amp;"-"&amp;IF(MONTH('Monthly totals'!A100)&lt;10,"0","")&amp;MONTH('Monthly totals'!A100)</x:f>
        <x:v>1932-03</x:v>
      </x:c>
      <x:c r="AB128" s="44" t="n">
        <x:f>'Monthly totals'!B100</x:f>
        <x:v>672.7</x:v>
      </x:c>
      <x:c r="AC128" s="44" t="n">
        <x:f>'Monthly totals'!C100</x:f>
        <x:v>597</x:v>
      </x:c>
      <x:c r="AD128" s="44" t="n">
        <x:f>'Monthly totals'!D100</x:f>
        <x:v>75.70000000000005</x:v>
      </x:c>
      <x:c r="AE128" s="44" t="n">
        <x:f>MAX(AD128,0)</x:f>
        <x:v>75.70000000000005</x:v>
      </x:c>
      <x:c r="AF128" s="44" t="n">
        <x:f>MIN(AD128,0)</x:f>
        <x:v>0</x:v>
      </x:c>
      <x:c r="AI128" s="36" t="str">
        <x:f>AA121</x:f>
        <x:v>1931-08</x:v>
      </x:c>
      <x:c r="AJ128" s="68" t="n">
        <x:f>'Monthly totals'!I93</x:f>
        <x:v>62.93965415833431</x:v>
      </x:c>
      <x:c r="AK128" s="68" t="n">
        <x:f>'Monthly totals'!J93</x:f>
        <x:v>55.297396834341264</x:v>
      </x:c>
    </x:row>
    <x:row r="129" ht="18" customHeight="1">
      <x:c r="A129" s="70"/>
      <x:c r="B129" s="70"/>
      <x:c r="C129" s="70"/>
      <x:c r="D129" s="70"/>
      <x:c r="E129" s="70"/>
      <x:c r="F129" s="70"/>
      <x:c r="G129" s="70"/>
      <x:c r="H129" s="70"/>
      <x:c r="I129" s="70"/>
      <x:c r="J129" s="70"/>
      <x:c r="K129" s="70"/>
      <x:c r="L129" s="70"/>
      <x:c r="M129" s="70"/>
      <x:c r="N129" s="70"/>
      <x:c r="O129" s="70"/>
      <x:c r="P129" s="70"/>
      <x:c r="Q129" s="70"/>
      <x:c r="R129" s="70"/>
      <x:c r="S129" s="70"/>
      <x:c r="T129" s="70"/>
      <x:c r="U129" s="70"/>
      <x:c r="V129" s="70"/>
      <x:c r="W129" s="70"/>
      <x:c r="X129" s="70"/>
      <x:c r="Y129" s="70"/>
      <x:c r="Z129" s="70"/>
      <x:c r="AA129" s="46" t="str">
        <x:f>YEAR('Monthly totals'!A101)&amp;"-"&amp;IF(MONTH('Monthly totals'!A101)&lt;10,"0","")&amp;MONTH('Monthly totals'!A101)</x:f>
        <x:v>1932-04</x:v>
      </x:c>
      <x:c r="AB129" s="44" t="n">
        <x:f>'Monthly totals'!B101</x:f>
        <x:v>653.2</x:v>
      </x:c>
      <x:c r="AC129" s="44" t="n">
        <x:f>'Monthly totals'!C101</x:f>
        <x:v>736.6</x:v>
      </x:c>
      <x:c r="AD129" s="44" t="n">
        <x:f>'Monthly totals'!D101</x:f>
        <x:v>-83.39999999999998</x:v>
      </x:c>
      <x:c r="AE129" s="44" t="n">
        <x:f>MAX(AD129,0)</x:f>
        <x:v>0</x:v>
      </x:c>
      <x:c r="AF129" s="44" t="n">
        <x:f>MIN(AD129,0)</x:f>
        <x:v>-83.39999999999998</x:v>
      </x:c>
      <x:c r="AI129" s="36" t="str">
        <x:f>AA122</x:f>
        <x:v>1931-09</x:v>
      </x:c>
      <x:c r="AJ129" s="68" t="n">
        <x:f>'Monthly totals'!I94</x:f>
        <x:v>67.60381131631573</x:v>
      </x:c>
      <x:c r="AK129" s="68" t="n">
        <x:f>'Monthly totals'!J94</x:f>
        <x:v>56.34188309401383</x:v>
      </x:c>
    </x:row>
    <x:row r="130" ht="18" customHeight="1">
      <x:c r="A130" s="70"/>
      <x:c r="B130" s="70"/>
      <x:c r="C130" s="70"/>
      <x:c r="D130" s="70"/>
      <x:c r="E130" s="70"/>
      <x:c r="F130" s="70"/>
      <x:c r="G130" s="70"/>
      <x:c r="H130" s="70"/>
      <x:c r="I130" s="70"/>
      <x:c r="J130" s="70"/>
      <x:c r="K130" s="70"/>
      <x:c r="L130" s="70"/>
      <x:c r="M130" s="70"/>
      <x:c r="N130" s="70"/>
      <x:c r="O130" s="70"/>
      <x:c r="P130" s="70"/>
      <x:c r="Q130" s="70"/>
      <x:c r="R130" s="70"/>
      <x:c r="S130" s="70"/>
      <x:c r="T130" s="70"/>
      <x:c r="U130" s="70"/>
      <x:c r="V130" s="70"/>
      <x:c r="W130" s="70"/>
      <x:c r="X130" s="70"/>
      <x:c r="Y130" s="70"/>
      <x:c r="Z130" s="70"/>
      <x:c r="AA130" s="46" t="str">
        <x:f>YEAR('Monthly totals'!A102)&amp;"-"&amp;IF(MONTH('Monthly totals'!A102)&lt;10,"0","")&amp;MONTH('Monthly totals'!A102)</x:f>
        <x:v>1932-05</x:v>
      </x:c>
      <x:c r="AB130" s="44" t="n">
        <x:f>'Monthly totals'!B102</x:f>
        <x:v>627.1</x:v>
      </x:c>
      <x:c r="AC130" s="44" t="n">
        <x:f>'Monthly totals'!C102</x:f>
        <x:v>624.9</x:v>
      </x:c>
      <x:c r="AD130" s="44" t="n">
        <x:f>'Monthly totals'!D102</x:f>
        <x:v>2.2000000000000455</x:v>
      </x:c>
      <x:c r="AE130" s="44" t="n">
        <x:f>MAX(AD130,0)</x:f>
        <x:v>2.2000000000000455</x:v>
      </x:c>
      <x:c r="AF130" s="44" t="n">
        <x:f>MIN(AD130,0)</x:f>
        <x:v>0</x:v>
      </x:c>
      <x:c r="AI130" s="36" t="str">
        <x:f>AA123</x:f>
        <x:v>1931-10</x:v>
      </x:c>
      <x:c r="AJ130" s="68" t="n">
        <x:f>'Monthly totals'!I95</x:f>
        <x:v>68.19785907540289</x:v>
      </x:c>
      <x:c r="AK130" s="68" t="n">
        <x:f>'Monthly totals'!J95</x:f>
        <x:v>66.0441340725908</x:v>
      </x:c>
    </x:row>
    <x:row r="131" ht="18" customHeight="1">
      <x:c r="A131" s="70"/>
      <x:c r="B131" s="70"/>
      <x:c r="C131" s="70"/>
      <x:c r="D131" s="70"/>
      <x:c r="E131" s="70"/>
      <x:c r="F131" s="70"/>
      <x:c r="G131" s="70"/>
      <x:c r="H131" s="70"/>
      <x:c r="I131" s="70"/>
      <x:c r="J131" s="70"/>
      <x:c r="K131" s="70"/>
      <x:c r="L131" s="70"/>
      <x:c r="M131" s="70"/>
      <x:c r="N131" s="70"/>
      <x:c r="O131" s="70"/>
      <x:c r="P131" s="70"/>
      <x:c r="Q131" s="70"/>
      <x:c r="R131" s="70"/>
      <x:c r="S131" s="70"/>
      <x:c r="T131" s="70"/>
      <x:c r="U131" s="70"/>
      <x:c r="V131" s="70"/>
      <x:c r="W131" s="70"/>
      <x:c r="X131" s="70"/>
      <x:c r="Y131" s="70"/>
      <x:c r="Z131" s="70"/>
      <x:c r="AA131" s="46" t="str">
        <x:f>YEAR('Monthly totals'!A103)&amp;"-"&amp;IF(MONTH('Monthly totals'!A103)&lt;10,"0","")&amp;MONTH('Monthly totals'!A103)</x:f>
        <x:v>1932-06</x:v>
      </x:c>
      <x:c r="AB131" s="44" t="n">
        <x:f>'Monthly totals'!B103</x:f>
        <x:v>598.8</x:v>
      </x:c>
      <x:c r="AC131" s="44" t="n">
        <x:f>'Monthly totals'!C103</x:f>
        <x:v>635.8</x:v>
      </x:c>
      <x:c r="AD131" s="44" t="n">
        <x:f>'Monthly totals'!D103</x:f>
        <x:v>-37</x:v>
      </x:c>
      <x:c r="AE131" s="44" t="n">
        <x:f>MAX(AD131,0)</x:f>
        <x:v>0</x:v>
      </x:c>
      <x:c r="AF131" s="44" t="n">
        <x:f>MIN(AD131,0)</x:f>
        <x:v>-37</x:v>
      </x:c>
      <x:c r="AI131" s="36" t="str">
        <x:f>AA124</x:f>
        <x:v>1931-11</x:v>
      </x:c>
      <x:c r="AJ131" s="68" t="n">
        <x:f>'Monthly totals'!I96</x:f>
        <x:v>64.27479120103517</x:v>
      </x:c>
      <x:c r="AK131" s="68" t="n">
        <x:f>'Monthly totals'!J96</x:f>
        <x:v>61.49186447841093</x:v>
      </x:c>
    </x:row>
    <x:row r="132" ht="18" customHeight="1">
      <x:c r="A132" s="70"/>
      <x:c r="B132" s="70"/>
      <x:c r="C132" s="70"/>
      <x:c r="D132" s="70"/>
      <x:c r="E132" s="70"/>
      <x:c r="F132" s="70"/>
      <x:c r="G132" s="70"/>
      <x:c r="H132" s="70"/>
      <x:c r="I132" s="70"/>
      <x:c r="J132" s="70"/>
      <x:c r="K132" s="70"/>
      <x:c r="L132" s="70"/>
      <x:c r="M132" s="70"/>
      <x:c r="N132" s="70"/>
      <x:c r="O132" s="70"/>
      <x:c r="P132" s="70"/>
      <x:c r="Q132" s="70"/>
      <x:c r="R132" s="70"/>
      <x:c r="S132" s="70"/>
      <x:c r="T132" s="70"/>
      <x:c r="U132" s="70"/>
      <x:c r="V132" s="70"/>
      <x:c r="W132" s="70"/>
      <x:c r="X132" s="70"/>
      <x:c r="Y132" s="70"/>
      <x:c r="Z132" s="70"/>
      <x:c r="AA132" s="46" t="str">
        <x:f>YEAR('Monthly totals'!A104)&amp;"-"&amp;IF(MONTH('Monthly totals'!A104)&lt;10,"0","")&amp;MONTH('Monthly totals'!A104)</x:f>
        <x:v>1932-07</x:v>
      </x:c>
      <x:c r="AB132" s="44" t="n">
        <x:f>'Monthly totals'!B104</x:f>
        <x:v>546.6</x:v>
      </x:c>
      <x:c r="AC132" s="44" t="n">
        <x:f>'Monthly totals'!C104</x:f>
        <x:v>583.9</x:v>
      </x:c>
      <x:c r="AD132" s="44" t="n">
        <x:f>'Monthly totals'!D104</x:f>
        <x:v>-37.299999999999955</x:v>
      </x:c>
      <x:c r="AE132" s="44" t="n">
        <x:f>MAX(AD132,0)</x:f>
        <x:v>0</x:v>
      </x:c>
      <x:c r="AF132" s="44" t="n">
        <x:f>MIN(AD132,0)</x:f>
        <x:v>-37.299999999999955</x:v>
      </x:c>
      <x:c r="AI132" s="36" t="str">
        <x:f>AA125</x:f>
        <x:v>1931-12</x:v>
      </x:c>
      <x:c r="AJ132" s="68" t="n">
        <x:f>'Monthly totals'!I97</x:f>
        <x:v>67.50382307963768</x:v>
      </x:c>
      <x:c r="AK132" s="68" t="n">
        <x:f>'Monthly totals'!J97</x:f>
        <x:v>73.50647521106069</x:v>
      </x:c>
    </x:row>
    <x:row r="133" ht="18" customHeight="1">
      <x:c r="A133" s="70"/>
      <x:c r="B133" s="70"/>
      <x:c r="C133" s="70"/>
      <x:c r="D133" s="70"/>
      <x:c r="E133" s="70"/>
      <x:c r="F133" s="70"/>
      <x:c r="G133" s="70"/>
      <x:c r="H133" s="70"/>
      <x:c r="I133" s="70"/>
      <x:c r="J133" s="70"/>
      <x:c r="K133" s="70"/>
      <x:c r="L133" s="70"/>
      <x:c r="M133" s="70"/>
      <x:c r="N133" s="70"/>
      <x:c r="O133" s="70"/>
      <x:c r="P133" s="70"/>
      <x:c r="Q133" s="70"/>
      <x:c r="R133" s="70"/>
      <x:c r="S133" s="70"/>
      <x:c r="T133" s="70"/>
      <x:c r="U133" s="70"/>
      <x:c r="V133" s="70"/>
      <x:c r="W133" s="70"/>
      <x:c r="X133" s="70"/>
      <x:c r="Y133" s="70"/>
      <x:c r="Z133" s="70"/>
      <x:c r="AA133" s="46" t="str">
        <x:f>YEAR('Monthly totals'!A105)&amp;"-"&amp;IF(MONTH('Monthly totals'!A105)&lt;10,"0","")&amp;MONTH('Monthly totals'!A105)</x:f>
        <x:v>1932-08</x:v>
      </x:c>
      <x:c r="AB133" s="44" t="n">
        <x:f>'Monthly totals'!B105</x:f>
        <x:v>509.5</x:v>
      </x:c>
      <x:c r="AC133" s="44" t="n">
        <x:f>'Monthly totals'!C105</x:f>
        <x:v>479.7</x:v>
      </x:c>
      <x:c r="AD133" s="44" t="n">
        <x:f>'Monthly totals'!D105</x:f>
        <x:v>29.80000000000001</x:v>
      </x:c>
      <x:c r="AE133" s="44" t="n">
        <x:f>MAX(AD133,0)</x:f>
        <x:v>29.80000000000001</x:v>
      </x:c>
      <x:c r="AF133" s="44" t="n">
        <x:f>MIN(AD133,0)</x:f>
        <x:v>0</x:v>
      </x:c>
      <x:c r="AI133" s="36" t="str">
        <x:f>AA126</x:f>
        <x:v>1932-01</x:v>
      </x:c>
      <x:c r="AJ133" s="68" t="n">
        <x:f>'Monthly totals'!I98</x:f>
        <x:v>33.819550641101046</x:v>
      </x:c>
      <x:c r="AK133" s="68" t="n">
        <x:f>'Monthly totals'!J98</x:f>
        <x:v>42.54621197637328</x:v>
      </x:c>
    </x:row>
    <x:row r="134" ht="18" customHeight="1">
      <x:c r="A134" s="70"/>
      <x:c r="B134" s="70"/>
      <x:c r="C134" s="70"/>
      <x:c r="D134" s="70"/>
      <x:c r="E134" s="70"/>
      <x:c r="F134" s="70"/>
      <x:c r="G134" s="70"/>
      <x:c r="H134" s="70"/>
      <x:c r="I134" s="70"/>
      <x:c r="J134" s="70"/>
      <x:c r="K134" s="70"/>
      <x:c r="L134" s="70"/>
      <x:c r="M134" s="70"/>
      <x:c r="N134" s="70"/>
      <x:c r="O134" s="70"/>
      <x:c r="P134" s="70"/>
      <x:c r="Q134" s="70"/>
      <x:c r="R134" s="70"/>
      <x:c r="S134" s="70"/>
      <x:c r="T134" s="70"/>
      <x:c r="U134" s="70"/>
      <x:c r="V134" s="70"/>
      <x:c r="W134" s="70"/>
      <x:c r="X134" s="70"/>
      <x:c r="Y134" s="70"/>
      <x:c r="Z134" s="70"/>
      <x:c r="AA134" s="46" t="str">
        <x:f>YEAR('Monthly totals'!A106)&amp;"-"&amp;IF(MONTH('Monthly totals'!A106)&lt;10,"0","")&amp;MONTH('Monthly totals'!A106)</x:f>
        <x:v>1932-09</x:v>
      </x:c>
      <x:c r="AB134" s="44" t="n">
        <x:f>'Monthly totals'!B106</x:f>
        <x:v>575.5</x:v>
      </x:c>
      <x:c r="AC134" s="44" t="n">
        <x:f>'Monthly totals'!C106</x:f>
        <x:v>485.8</x:v>
      </x:c>
      <x:c r="AD134" s="44" t="n">
        <x:f>'Monthly totals'!D106</x:f>
        <x:v>89.69999999999999</x:v>
      </x:c>
      <x:c r="AE134" s="44" t="n">
        <x:f>MAX(AD134,0)</x:f>
        <x:v>89.69999999999999</x:v>
      </x:c>
      <x:c r="AF134" s="44" t="n">
        <x:f>MIN(AD134,0)</x:f>
        <x:v>0</x:v>
      </x:c>
      <x:c r="AI134" s="36" t="str">
        <x:f>AA127</x:f>
        <x:v>1932-02</x:v>
      </x:c>
      <x:c r="AJ134" s="68" t="n">
        <x:f>'Monthly totals'!I99</x:f>
        <x:v>33.354899423597224</x:v>
      </x:c>
      <x:c r="AK134" s="68" t="n">
        <x:f>'Monthly totals'!J99</x:f>
        <x:v>36.65361897382747</x:v>
      </x:c>
    </x:row>
    <x:row r="135" ht="18" customHeight="1">
      <x:c r="A135" s="70"/>
      <x:c r="B135" s="71" t="str">
        <x:v>Import share by partner</x:v>
      </x:c>
      <x:c r="C135" s="70"/>
      <x:c r="D135" s="70"/>
      <x:c r="E135" s="70"/>
      <x:c r="F135" s="70"/>
      <x:c r="G135" s="70"/>
      <x:c r="H135" s="70"/>
      <x:c r="I135" s="70"/>
      <x:c r="J135" s="70"/>
      <x:c r="K135" s="70"/>
      <x:c r="L135" s="70"/>
      <x:c r="M135" s="70"/>
      <x:c r="N135" s="70"/>
      <x:c r="O135" s="70"/>
      <x:c r="P135" s="70"/>
      <x:c r="Q135" s="70"/>
      <x:c r="R135" s="70"/>
      <x:c r="S135" s="70"/>
      <x:c r="T135" s="70"/>
      <x:c r="U135" s="70"/>
      <x:c r="V135" s="70"/>
      <x:c r="W135" s="70"/>
      <x:c r="X135" s="70"/>
      <x:c r="Y135" s="70"/>
      <x:c r="Z135" s="70"/>
      <x:c r="AA135" s="46" t="str">
        <x:f>YEAR('Monthly totals'!A107)&amp;"-"&amp;IF(MONTH('Monthly totals'!A107)&lt;10,"0","")&amp;MONTH('Monthly totals'!A107)</x:f>
        <x:v>1932-10</x:v>
      </x:c>
      <x:c r="AB135" s="44" t="n">
        <x:f>'Monthly totals'!B107</x:f>
        <x:v>699.2</x:v>
      </x:c>
      <x:c r="AC135" s="44" t="n">
        <x:f>'Monthly totals'!C107</x:f>
        <x:v>621.8</x:v>
      </x:c>
      <x:c r="AD135" s="44" t="n">
        <x:f>'Monthly totals'!D107</x:f>
        <x:v>77.40000000000009</x:v>
      </x:c>
      <x:c r="AE135" s="44" t="n">
        <x:f>MAX(AD135,0)</x:f>
        <x:v>77.40000000000009</x:v>
      </x:c>
      <x:c r="AF135" s="44" t="n">
        <x:f>MIN(AD135,0)</x:f>
        <x:v>0</x:v>
      </x:c>
      <x:c r="AI135" s="36" t="str">
        <x:f>AA128</x:f>
        <x:v>1932-03</x:v>
      </x:c>
      <x:c r="AJ135" s="68" t="n">
        <x:f>'Monthly totals'!I100</x:f>
        <x:v>39.56593341959769</x:v>
      </x:c>
      <x:c r="AK135" s="68" t="n">
        <x:f>'Monthly totals'!J100</x:f>
        <x:v>36.043832197949264</x:v>
      </x:c>
    </x:row>
    <x:row r="136" ht="18" customHeight="1">
      <x:c r="A136" s="70"/>
      <x:c r="B136" s="72" t="str">
        <x:v>Percent of the published national total. Darker cells indicate larger shares; scale 0–45%.</x:v>
      </x:c>
      <x:c r="C136" s="70"/>
      <x:c r="D136" s="70"/>
      <x:c r="E136" s="70"/>
      <x:c r="F136" s="70"/>
      <x:c r="G136" s="70"/>
      <x:c r="H136" s="70"/>
      <x:c r="I136" s="70"/>
      <x:c r="J136" s="70"/>
      <x:c r="K136" s="70"/>
      <x:c r="L136" s="70"/>
      <x:c r="M136" s="70"/>
      <x:c r="N136" s="70"/>
      <x:c r="O136" s="70"/>
      <x:c r="P136" s="70"/>
      <x:c r="Q136" s="70"/>
      <x:c r="R136" s="70"/>
      <x:c r="S136" s="70"/>
      <x:c r="T136" s="70"/>
      <x:c r="U136" s="70"/>
      <x:c r="V136" s="70"/>
      <x:c r="W136" s="70"/>
      <x:c r="X136" s="70"/>
      <x:c r="Y136" s="70"/>
      <x:c r="Z136" s="70"/>
      <x:c r="AA136" s="46" t="str">
        <x:f>YEAR('Monthly totals'!A108)&amp;"-"&amp;IF(MONTH('Monthly totals'!A108)&lt;10,"0","")&amp;MONTH('Monthly totals'!A108)</x:f>
        <x:v>1932-11</x:v>
      </x:c>
      <x:c r="AB136" s="44" t="n">
        <x:f>'Monthly totals'!B108</x:f>
        <x:v>633.7</x:v>
      </x:c>
      <x:c r="AC136" s="44" t="n">
        <x:f>'Monthly totals'!C108</x:f>
        <x:v>610.9</x:v>
      </x:c>
      <x:c r="AD136" s="44" t="n">
        <x:f>'Monthly totals'!D108</x:f>
        <x:v>22.800000000000068</x:v>
      </x:c>
      <x:c r="AE136" s="44" t="n">
        <x:f>MAX(AD136,0)</x:f>
        <x:v>22.800000000000068</x:v>
      </x:c>
      <x:c r="AF136" s="44" t="n">
        <x:f>MIN(AD136,0)</x:f>
        <x:v>0</x:v>
      </x:c>
      <x:c r="AI136" s="36" t="str">
        <x:f>AA129</x:f>
        <x:v>1932-04</x:v>
      </x:c>
      <x:c r="AJ136" s="68" t="n">
        <x:f>'Monthly totals'!I101</x:f>
        <x:v>38.41900952829079</x:v>
      </x:c>
      <x:c r="AK136" s="68" t="n">
        <x:f>'Monthly totals'!J101</x:f>
        <x:v>44.47217218929553</x:v>
      </x:c>
    </x:row>
    <x:row r="137" ht="18" customHeight="1">
      <x:c r="A137" s="70"/>
      <x:c r="B137" s="70"/>
      <x:c r="C137" s="70"/>
      <x:c r="D137" s="70"/>
      <x:c r="E137" s="70"/>
      <x:c r="F137" s="70"/>
      <x:c r="G137" s="70"/>
      <x:c r="H137" s="70"/>
      <x:c r="I137" s="70"/>
      <x:c r="J137" s="70"/>
      <x:c r="K137" s="70"/>
      <x:c r="L137" s="70"/>
      <x:c r="M137" s="70"/>
      <x:c r="N137" s="70"/>
      <x:c r="O137" s="70"/>
      <x:c r="P137" s="70"/>
      <x:c r="Q137" s="70"/>
      <x:c r="R137" s="70"/>
      <x:c r="S137" s="70"/>
      <x:c r="T137" s="70"/>
      <x:c r="U137" s="70"/>
      <x:c r="V137" s="70"/>
      <x:c r="W137" s="70"/>
      <x:c r="X137" s="70"/>
      <x:c r="Y137" s="70"/>
      <x:c r="Z137" s="70"/>
      <x:c r="AA137" s="46" t="str">
        <x:f>YEAR('Monthly totals'!A109)&amp;"-"&amp;IF(MONTH('Monthly totals'!A109)&lt;10,"0","")&amp;MONTH('Monthly totals'!A109)</x:f>
        <x:v>1932-12</x:v>
      </x:c>
      <x:c r="AB137" s="44" t="n">
        <x:f>'Monthly totals'!B109</x:f>
        <x:v>677.7</x:v>
      </x:c>
      <x:c r="AC137" s="44" t="n">
        <x:f>'Monthly totals'!C109</x:f>
        <x:v>773.1</x:v>
      </x:c>
      <x:c r="AD137" s="44" t="n">
        <x:f>'Monthly totals'!D109</x:f>
        <x:v>-95.39999999999998</x:v>
      </x:c>
      <x:c r="AE137" s="44" t="n">
        <x:f>MAX(AD137,0)</x:f>
        <x:v>0</x:v>
      </x:c>
      <x:c r="AF137" s="44" t="n">
        <x:f>MIN(AD137,0)</x:f>
        <x:v>-95.39999999999998</x:v>
      </x:c>
      <x:c r="AI137" s="36" t="str">
        <x:f>AA130</x:f>
        <x:v>1932-05</x:v>
      </x:c>
      <x:c r="AJ137" s="68" t="n">
        <x:f>'Monthly totals'!I102</x:f>
        <x:v>36.883896012233855</x:v>
      </x:c>
      <x:c r="AK137" s="68" t="n">
        <x:f>'Monthly totals'!J102</x:f>
        <x:v>37.72829269765242</x:v>
      </x:c>
    </x:row>
    <x:row r="138" ht="18" customHeight="1">
      <x:c r="A138" s="70"/>
      <x:c r="B138" s="66" t="str">
        <x:v>Partner</x:v>
      </x:c>
      <x:c r="C138" s="66"/>
      <x:c r="D138" s="66"/>
      <x:c r="E138" s="66"/>
      <x:c r="F138" s="66"/>
      <x:c r="G138" s="75" t="n">
        <x:v>1920</x:v>
      </x:c>
      <x:c r="H138" s="75" t="n">
        <x:v>1921</x:v>
      </x:c>
      <x:c r="I138" s="75" t="n">
        <x:v>1922</x:v>
      </x:c>
      <x:c r="J138" s="75" t="n">
        <x:v>1923</x:v>
      </x:c>
      <x:c r="K138" s="75" t="n">
        <x:v>1924</x:v>
      </x:c>
      <x:c r="L138" s="75" t="n">
        <x:v>1925</x:v>
      </x:c>
      <x:c r="M138" s="75" t="n">
        <x:v>1926</x:v>
      </x:c>
      <x:c r="N138" s="75" t="n">
        <x:v>1927</x:v>
      </x:c>
      <x:c r="O138" s="75" t="n">
        <x:v>1928</x:v>
      </x:c>
      <x:c r="P138" s="75" t="n">
        <x:v>1929</x:v>
      </x:c>
      <x:c r="Q138" s="75" t="n">
        <x:v>1930</x:v>
      </x:c>
      <x:c r="R138" s="75" t="n">
        <x:v>1931</x:v>
      </x:c>
      <x:c r="S138" s="75" t="n">
        <x:v>1932</x:v>
      </x:c>
      <x:c r="T138" s="75" t="n">
        <x:v>1933</x:v>
      </x:c>
      <x:c r="U138" s="75" t="n">
        <x:v>1934</x:v>
      </x:c>
      <x:c r="V138" s="75" t="n">
        <x:v>1935</x:v>
      </x:c>
      <x:c r="W138" s="75" t="n">
        <x:v>1936</x:v>
      </x:c>
      <x:c r="X138" s="75" t="n">
        <x:v>1937</x:v>
      </x:c>
      <x:c r="Y138" s="75" t="n">
        <x:v>1938</x:v>
      </x:c>
      <x:c r="Z138" s="70"/>
      <x:c r="AA138" s="46" t="str">
        <x:f>YEAR('Monthly totals'!A110)&amp;"-"&amp;IF(MONTH('Monthly totals'!A110)&lt;10,"0","")&amp;MONTH('Monthly totals'!A110)</x:f>
        <x:v>1933-01</x:v>
      </x:c>
      <x:c r="AB138" s="44" t="n">
        <x:f>'Monthly totals'!B110</x:f>
        <x:v>386.6</x:v>
      </x:c>
      <x:c r="AC138" s="44" t="n">
        <x:f>'Monthly totals'!C110</x:f>
        <x:v>379.7</x:v>
      </x:c>
      <x:c r="AD138" s="44" t="n">
        <x:f>'Monthly totals'!D110</x:f>
        <x:v>6.900000000000034</x:v>
      </x:c>
      <x:c r="AE138" s="44" t="n">
        <x:f>MAX(AD138,0)</x:f>
        <x:v>6.900000000000034</x:v>
      </x:c>
      <x:c r="AF138" s="44" t="n">
        <x:f>MIN(AD138,0)</x:f>
        <x:v>0</x:v>
      </x:c>
      <x:c r="AI138" s="36" t="str">
        <x:f>AA131</x:f>
        <x:v>1932-06</x:v>
      </x:c>
      <x:c r="AJ138" s="68" t="n">
        <x:f>'Monthly totals'!I103</x:f>
        <x:v>35.21938595459357</x:v>
      </x:c>
      <x:c r="AK138" s="68" t="n">
        <x:f>'Monthly totals'!J103</x:f>
        <x:v>38.38637941617444</x:v>
      </x:c>
    </x:row>
    <x:row r="139" ht="18" customHeight="1">
      <x:c r="A139" s="70"/>
      <x:c r="B139" s="73" t="str">
        <x:v>Austria</x:v>
      </x:c>
      <x:c r="C139" s="73"/>
      <x:c r="D139" s="73"/>
      <x:c r="E139" s="73"/>
      <x:c r="F139" s="73"/>
      <x:c r="G139" s="78" t="n">
        <x:f>SUMIFS('Annual partners'!$G$2:$G$286,'Annual partners'!$A$2:$A$286,G$138,'Annual partners'!$B$2:$B$286,$B139)</x:f>
        <x:v>12.721478451584467</x:v>
      </x:c>
      <x:c r="H139" s="78" t="n">
        <x:f>SUMIFS('Annual partners'!$G$2:$G$286,'Annual partners'!$A$2:$A$286,H$138,'Annual partners'!$B$2:$B$286,$B139)</x:f>
        <x:v>8.372258212096025</x:v>
      </x:c>
      <x:c r="I139" s="78" t="n">
        <x:f>SUMIFS('Annual partners'!$G$2:$G$286,'Annual partners'!$A$2:$A$286,I$138,'Annual partners'!$B$2:$B$286,$B139)</x:f>
        <x:v>7.315832269779996</x:v>
      </x:c>
      <x:c r="J139" s="78" t="n">
        <x:f>SUMIFS('Annual partners'!$G$2:$G$286,'Annual partners'!$A$2:$A$286,J$138,'Annual partners'!$B$2:$B$286,$B139)</x:f>
        <x:v>6.164002006488929</x:v>
      </x:c>
      <x:c r="K139" s="78" t="n">
        <x:f>SUMIFS('Annual partners'!$G$2:$G$286,'Annual partners'!$A$2:$A$286,K$138,'Annual partners'!$B$2:$B$286,$B139)</x:f>
        <x:v>7.845180070544368</x:v>
      </x:c>
      <x:c r="L139" s="78" t="n">
        <x:f>SUMIFS('Annual partners'!$G$2:$G$286,'Annual partners'!$A$2:$A$286,L$138,'Annual partners'!$B$2:$B$286,$B139)</x:f>
        <x:v>7.357570854219275</x:v>
      </x:c>
      <x:c r="M139" s="78" t="n">
        <x:f>SUMIFS('Annual partners'!$G$2:$G$286,'Annual partners'!$A$2:$A$286,M$138,'Annual partners'!$B$2:$B$286,$B139)</x:f>
        <x:v>7.40289556540165</x:v>
      </x:c>
      <x:c r="N139" s="78" t="n">
        <x:f>SUMIFS('Annual partners'!$G$2:$G$286,'Annual partners'!$A$2:$A$286,N$138,'Annual partners'!$B$2:$B$286,$B139)</x:f>
        <x:v>7.123834849750846</x:v>
      </x:c>
      <x:c r="O139" s="78" t="n">
        <x:f>SUMIFS('Annual partners'!$G$2:$G$286,'Annual partners'!$A$2:$A$286,O$138,'Annual partners'!$B$2:$B$286,$B139)</x:f>
        <x:v>7.513095000531813</x:v>
      </x:c>
      <x:c r="P139" s="78" t="n">
        <x:f>SUMIFS('Annual partners'!$G$2:$G$286,'Annual partners'!$A$2:$A$286,P$138,'Annual partners'!$B$2:$B$286,$B139)</x:f>
        <x:v>7.843251515267821</x:v>
      </x:c>
      <x:c r="Q139" s="78" t="n">
        <x:f>SUMIFS('Annual partners'!$G$2:$G$286,'Annual partners'!$A$2:$A$286,Q$138,'Annual partners'!$B$2:$B$286,$B139)</x:f>
        <x:v>7.704169835978904</x:v>
      </x:c>
      <x:c r="R139" s="78" t="n">
        <x:f>SUMIFS('Annual partners'!$G$2:$G$286,'Annual partners'!$A$2:$A$286,R$138,'Annual partners'!$B$2:$B$286,$B139)</x:f>
        <x:v>7.220011635065698</x:v>
      </x:c>
      <x:c r="S139" s="78" t="n">
        <x:f>SUMIFS('Annual partners'!$G$2:$G$286,'Annual partners'!$A$2:$A$286,S$138,'Annual partners'!$B$2:$B$286,$B139)</x:f>
        <x:v>5.552890113820764</x:v>
      </x:c>
      <x:c r="T139" s="78" t="n">
        <x:f>SUMIFS('Annual partners'!$G$2:$G$286,'Annual partners'!$A$2:$A$286,T$138,'Annual partners'!$B$2:$B$286,$B139)</x:f>
        <x:v>4.881476445814958</x:v>
      </x:c>
      <x:c r="U139" s="78" t="n">
        <x:f>SUMIFS('Annual partners'!$G$2:$G$286,'Annual partners'!$A$2:$A$286,U$138,'Annual partners'!$B$2:$B$286,$B139)</x:f>
        <x:v>5.084825847061581</x:v>
      </x:c>
      <x:c r="V139" s="78" t="n">
        <x:f>SUMIFS('Annual partners'!$G$2:$G$286,'Annual partners'!$A$2:$A$286,V$138,'Annual partners'!$B$2:$B$286,$B139)</x:f>
        <x:v>4.59724159572332</x:v>
      </x:c>
      <x:c r="W139" s="78" t="n">
        <x:f>SUMIFS('Annual partners'!$G$2:$G$286,'Annual partners'!$A$2:$A$286,W$138,'Annual partners'!$B$2:$B$286,$B139)</x:f>
        <x:v>4.485032939724316</x:v>
      </x:c>
      <x:c r="X139" s="78" t="n">
        <x:f>SUMIFS('Annual partners'!$G$2:$G$286,'Annual partners'!$A$2:$A$286,X$138,'Annual partners'!$B$2:$B$286,$B139)</x:f>
        <x:v>4.161534562682818</x:v>
      </x:c>
      <x:c r="Y139" s="78" t="n">
        <x:f>SUMIFS('Annual partners'!$G$2:$G$286,'Annual partners'!$A$2:$A$286,Y$138,'Annual partners'!$B$2:$B$286,$B139)</x:f>
        <x:v>2.812754794167729</x:v>
      </x:c>
      <x:c r="Z139" s="70"/>
      <x:c r="AA139" s="46" t="str">
        <x:f>YEAR('Monthly totals'!A111)&amp;"-"&amp;IF(MONTH('Monthly totals'!A111)&lt;10,"0","")&amp;MONTH('Monthly totals'!A111)</x:f>
        <x:v>1933-02</x:v>
      </x:c>
      <x:c r="AB139" s="44" t="n">
        <x:f>'Monthly totals'!B111</x:f>
        <x:v>440.5</x:v>
      </x:c>
      <x:c r="AC139" s="44" t="n">
        <x:f>'Monthly totals'!C111</x:f>
        <x:v>368.4</x:v>
      </x:c>
      <x:c r="AD139" s="44" t="n">
        <x:f>'Monthly totals'!D111</x:f>
        <x:v>72.10000000000002</x:v>
      </x:c>
      <x:c r="AE139" s="44" t="n">
        <x:f>MAX(AD139,0)</x:f>
        <x:v>72.10000000000002</x:v>
      </x:c>
      <x:c r="AF139" s="44" t="n">
        <x:f>MIN(AD139,0)</x:f>
        <x:v>0</x:v>
      </x:c>
      <x:c r="AI139" s="36" t="str">
        <x:f>AA132</x:f>
        <x:v>1932-07</x:v>
      </x:c>
      <x:c r="AJ139" s="68" t="n">
        <x:f>'Monthly totals'!I104</x:f>
        <x:v>32.14915892247971</x:v>
      </x:c>
      <x:c r="AK139" s="68" t="n">
        <x:f>'Monthly totals'!J104</x:f>
        <x:v>35.25292063715674</x:v>
      </x:c>
    </x:row>
    <x:row r="140" ht="18" customHeight="1">
      <x:c r="A140" s="70"/>
      <x:c r="B140" s="73" t="str">
        <x:v>Belgium and Luxembourg</x:v>
      </x:c>
      <x:c r="C140" s="73"/>
      <x:c r="D140" s="73"/>
      <x:c r="E140" s="73"/>
      <x:c r="F140" s="73"/>
      <x:c r="G140" s="78" t="n">
        <x:f>SUMIFS('Annual partners'!$G$2:$G$286,'Annual partners'!$A$2:$A$286,G$138,'Annual partners'!$B$2:$B$286,$B140)</x:f>
        <x:v>4.3408595110929244</x:v>
      </x:c>
      <x:c r="H140" s="78" t="n">
        <x:f>SUMIFS('Annual partners'!$G$2:$G$286,'Annual partners'!$A$2:$A$286,H$138,'Annual partners'!$B$2:$B$286,$B140)</x:f>
        <x:v>1.8872412611230072</x:v>
      </x:c>
      <x:c r="I140" s="78" t="n">
        <x:f>SUMIFS('Annual partners'!$G$2:$G$286,'Annual partners'!$A$2:$A$286,I$138,'Annual partners'!$B$2:$B$286,$B140)</x:f>
        <x:v>1.6916934660343195</x:v>
      </x:c>
      <x:c r="J140" s="78" t="n">
        <x:f>SUMIFS('Annual partners'!$G$2:$G$286,'Annual partners'!$A$2:$A$286,J$138,'Annual partners'!$B$2:$B$286,$B140)</x:f>
        <x:v>0.7393105854859285</x:v>
      </x:c>
      <x:c r="K140" s="78" t="n">
        <x:f>SUMIFS('Annual partners'!$G$2:$G$286,'Annual partners'!$A$2:$A$286,K$138,'Annual partners'!$B$2:$B$286,$B140)</x:f>
        <x:v>0.7148730569093599</x:v>
      </x:c>
      <x:c r="L140" s="78" t="n">
        <x:f>SUMIFS('Annual partners'!$G$2:$G$286,'Annual partners'!$A$2:$A$286,L$138,'Annual partners'!$B$2:$B$286,$B140)</x:f>
        <x:v>1.0444649826533616</x:v>
      </x:c>
      <x:c r="M140" s="78" t="n">
        <x:f>SUMIFS('Annual partners'!$G$2:$G$286,'Annual partners'!$A$2:$A$286,M$138,'Annual partners'!$B$2:$B$286,$B140)</x:f>
        <x:v>1.279172667919601</x:v>
      </x:c>
      <x:c r="N140" s="78" t="n">
        <x:f>SUMIFS('Annual partners'!$G$2:$G$286,'Annual partners'!$A$2:$A$286,N$138,'Annual partners'!$B$2:$B$286,$B140)</x:f>
        <x:v>1.7736083224508774</x:v>
      </x:c>
      <x:c r="O140" s="78" t="n">
        <x:f>SUMIFS('Annual partners'!$G$2:$G$286,'Annual partners'!$A$2:$A$286,O$138,'Annual partners'!$B$2:$B$286,$B140)</x:f>
        <x:v>1.5038653620855957</x:v>
      </x:c>
      <x:c r="P140" s="78" t="n">
        <x:f>SUMIFS('Annual partners'!$G$2:$G$286,'Annual partners'!$A$2:$A$286,P$138,'Annual partners'!$B$2:$B$286,$B140)</x:f>
        <x:v>1.5684649124169536</x:v>
      </x:c>
      <x:c r="Q140" s="78" t="n">
        <x:f>SUMIFS('Annual partners'!$G$2:$G$286,'Annual partners'!$A$2:$A$286,Q$138,'Annual partners'!$B$2:$B$286,$B140)</x:f>
        <x:v>1.4979792870318585</x:v>
      </x:c>
      <x:c r="R140" s="78" t="n">
        <x:f>SUMIFS('Annual partners'!$G$2:$G$286,'Annual partners'!$A$2:$A$286,R$138,'Annual partners'!$B$2:$B$286,$B140)</x:f>
        <x:v>1.4914578025487828</x:v>
      </x:c>
      <x:c r="S140" s="78" t="n">
        <x:f>SUMIFS('Annual partners'!$G$2:$G$286,'Annual partners'!$A$2:$A$286,S$138,'Annual partners'!$B$2:$B$286,$B140)</x:f>
        <x:v>1.48322230413314</x:v>
      </x:c>
      <x:c r="T140" s="78" t="n">
        <x:f>SUMIFS('Annual partners'!$G$2:$G$286,'Annual partners'!$A$2:$A$286,T$138,'Annual partners'!$B$2:$B$286,$B140)</x:f>
        <x:v>1.9917729979579428</x:v>
      </x:c>
      <x:c r="U140" s="78" t="n">
        <x:f>SUMIFS('Annual partners'!$G$2:$G$286,'Annual partners'!$A$2:$A$286,U$138,'Annual partners'!$B$2:$B$286,$B140)</x:f>
        <x:v>2.4094251706076415</x:v>
      </x:c>
      <x:c r="V140" s="78" t="n">
        <x:f>SUMIFS('Annual partners'!$G$2:$G$286,'Annual partners'!$A$2:$A$286,V$138,'Annual partners'!$B$2:$B$286,$B140)</x:f>
        <x:v>2.550727595046487</x:v>
      </x:c>
      <x:c r="W140" s="78" t="n">
        <x:f>SUMIFS('Annual partners'!$G$2:$G$286,'Annual partners'!$A$2:$A$286,W$138,'Annual partners'!$B$2:$B$286,$B140)</x:f>
        <x:v>2.9689654671414485</x:v>
      </x:c>
      <x:c r="X140" s="78" t="n">
        <x:f>SUMIFS('Annual partners'!$G$2:$G$286,'Annual partners'!$A$2:$A$286,X$138,'Annual partners'!$B$2:$B$286,$B140)</x:f>
        <x:v>2.886666206499898</x:v>
      </x:c>
      <x:c r="Y140" s="78" t="n">
        <x:f>SUMIFS('Annual partners'!$G$2:$G$286,'Annual partners'!$A$2:$A$286,Y$138,'Annual partners'!$B$2:$B$286,$B140)</x:f>
        <x:v>2.2168321682847356</x:v>
      </x:c>
      <x:c r="Z140" s="70"/>
      <x:c r="AA140" s="46" t="str">
        <x:f>YEAR('Monthly totals'!A112)&amp;"-"&amp;IF(MONTH('Monthly totals'!A112)&lt;10,"0","")&amp;MONTH('Monthly totals'!A112)</x:f>
        <x:v>1933-03</x:v>
      </x:c>
      <x:c r="AB140" s="44" t="n">
        <x:f>'Monthly totals'!B112</x:f>
        <x:v>474</x:v>
      </x:c>
      <x:c r="AC140" s="44" t="n">
        <x:f>'Monthly totals'!C112</x:f>
        <x:v>452.3</x:v>
      </x:c>
      <x:c r="AD140" s="44" t="n">
        <x:f>'Monthly totals'!D112</x:f>
        <x:v>21.69999999999999</x:v>
      </x:c>
      <x:c r="AE140" s="44" t="n">
        <x:f>MAX(AD140,0)</x:f>
        <x:v>21.69999999999999</x:v>
      </x:c>
      <x:c r="AF140" s="44" t="n">
        <x:f>MIN(AD140,0)</x:f>
        <x:v>0</x:v>
      </x:c>
      <x:c r="AI140" s="36" t="str">
        <x:f>AA133</x:f>
        <x:v>1932-08</x:v>
      </x:c>
      <x:c r="AJ140" s="68" t="n">
        <x:f>'Monthly totals'!I105</x:f>
        <x:v>29.96706269850606</x:v>
      </x:c>
      <x:c r="AK140" s="68" t="n">
        <x:f>'Monthly totals'!J105</x:f>
        <x:v>28.961853107799435</x:v>
      </x:c>
    </x:row>
    <x:row r="141" ht="18" customHeight="1">
      <x:c r="A141" s="70"/>
      <x:c r="B141" s="73" t="str">
        <x:v>France</x:v>
      </x:c>
      <x:c r="C141" s="73"/>
      <x:c r="D141" s="73"/>
      <x:c r="E141" s="73"/>
      <x:c r="F141" s="73"/>
      <x:c r="G141" s="78" t="n">
        <x:f>SUMIFS('Annual partners'!$G$2:$G$286,'Annual partners'!$A$2:$A$286,G$138,'Annual partners'!$B$2:$B$286,$B141)</x:f>
        <x:v>3.993758028028654</x:v>
      </x:c>
      <x:c r="H141" s="78" t="n">
        <x:f>SUMIFS('Annual partners'!$G$2:$G$286,'Annual partners'!$A$2:$A$286,H$138,'Annual partners'!$B$2:$B$286,$B141)</x:f>
        <x:v>2.6978683799946346</x:v>
      </x:c>
      <x:c r="I141" s="78" t="n">
        <x:f>SUMIFS('Annual partners'!$G$2:$G$286,'Annual partners'!$A$2:$A$286,I$138,'Annual partners'!$B$2:$B$286,$B141)</x:f>
        <x:v>3.3017701420406675</x:v>
      </x:c>
      <x:c r="J141" s="78" t="n">
        <x:f>SUMIFS('Annual partners'!$G$2:$G$286,'Annual partners'!$A$2:$A$286,J$138,'Annual partners'!$B$2:$B$286,$B141)</x:f>
        <x:v>3.271449340775234</x:v>
      </x:c>
      <x:c r="K141" s="78" t="n">
        <x:f>SUMIFS('Annual partners'!$G$2:$G$286,'Annual partners'!$A$2:$A$286,K$138,'Annual partners'!$B$2:$B$286,$B141)</x:f>
        <x:v>3.3792685993550307</x:v>
      </x:c>
      <x:c r="L141" s="78" t="n">
        <x:f>SUMIFS('Annual partners'!$G$2:$G$286,'Annual partners'!$A$2:$A$286,L$138,'Annual partners'!$B$2:$B$286,$B141)</x:f>
        <x:v>3.93006946090872</x:v>
      </x:c>
      <x:c r="M141" s="78" t="n">
        <x:f>SUMIFS('Annual partners'!$G$2:$G$286,'Annual partners'!$A$2:$A$286,M$138,'Annual partners'!$B$2:$B$286,$B141)</x:f>
        <x:v>4.434500160407984</x:v>
      </x:c>
      <x:c r="N141" s="78" t="n">
        <x:f>SUMIFS('Annual partners'!$G$2:$G$286,'Annual partners'!$A$2:$A$286,N$138,'Annual partners'!$B$2:$B$286,$B141)</x:f>
        <x:v>4.369736558459721</x:v>
      </x:c>
      <x:c r="O141" s="78" t="n">
        <x:f>SUMIFS('Annual partners'!$G$2:$G$286,'Annual partners'!$A$2:$A$286,O$138,'Annual partners'!$B$2:$B$286,$B141)</x:f>
        <x:v>4.289900880903033</x:v>
      </x:c>
      <x:c r="P141" s="78" t="n">
        <x:f>SUMIFS('Annual partners'!$G$2:$G$286,'Annual partners'!$A$2:$A$286,P$138,'Annual partners'!$B$2:$B$286,$B141)</x:f>
        <x:v>3.858129464594848</x:v>
      </x:c>
      <x:c r="Q141" s="78" t="n">
        <x:f>SUMIFS('Annual partners'!$G$2:$G$286,'Annual partners'!$A$2:$A$286,Q$138,'Annual partners'!$B$2:$B$286,$B141)</x:f>
        <x:v>3.639949669423207</x:v>
      </x:c>
      <x:c r="R141" s="78" t="n">
        <x:f>SUMIFS('Annual partners'!$G$2:$G$286,'Annual partners'!$A$2:$A$286,R$138,'Annual partners'!$B$2:$B$286,$B141)</x:f>
        <x:v>3.8557573872710007</x:v>
      </x:c>
      <x:c r="S141" s="78" t="n">
        <x:f>SUMIFS('Annual partners'!$G$2:$G$286,'Annual partners'!$A$2:$A$286,S$138,'Annual partners'!$B$2:$B$286,$B141)</x:f>
        <x:v>3.9716035251168376</x:v>
      </x:c>
      <x:c r="T141" s="78" t="n">
        <x:f>SUMIFS('Annual partners'!$G$2:$G$286,'Annual partners'!$A$2:$A$286,T$138,'Annual partners'!$B$2:$B$286,$B141)</x:f>
        <x:v>6.236535124753559</x:v>
      </x:c>
      <x:c r="U141" s="78" t="n">
        <x:f>SUMIFS('Annual partners'!$G$2:$G$286,'Annual partners'!$A$2:$A$286,U$138,'Annual partners'!$B$2:$B$286,$B141)</x:f>
        <x:v>6.414703376293072</x:v>
      </x:c>
      <x:c r="V141" s="78" t="n">
        <x:f>SUMIFS('Annual partners'!$G$2:$G$286,'Annual partners'!$A$2:$A$286,V$138,'Annual partners'!$B$2:$B$286,$B141)</x:f>
        <x:v>5.576009161264413</x:v>
      </x:c>
      <x:c r="W141" s="78" t="n">
        <x:f>SUMIFS('Annual partners'!$G$2:$G$286,'Annual partners'!$A$2:$A$286,W$138,'Annual partners'!$B$2:$B$286,$B141)</x:f>
        <x:v>6.051635994726612</x:v>
      </x:c>
      <x:c r="X141" s="78" t="n">
        <x:f>SUMIFS('Annual partners'!$G$2:$G$286,'Annual partners'!$A$2:$A$286,X$138,'Annual partners'!$B$2:$B$286,$B141)</x:f>
        <x:v>5.254278867982465</x:v>
      </x:c>
      <x:c r="Y141" s="78" t="n">
        <x:f>SUMIFS('Annual partners'!$G$2:$G$286,'Annual partners'!$A$2:$A$286,Y$138,'Annual partners'!$B$2:$B$286,$B141)</x:f>
        <x:v>4.57668576678139</x:v>
      </x:c>
      <x:c r="Z141" s="70"/>
      <x:c r="AA141" s="46" t="str">
        <x:f>YEAR('Monthly totals'!A113)&amp;"-"&amp;IF(MONTH('Monthly totals'!A113)&lt;10,"0","")&amp;MONTH('Monthly totals'!A113)</x:f>
        <x:v>1933-04</x:v>
      </x:c>
      <x:c r="AB141" s="44" t="n">
        <x:f>'Monthly totals'!B113</x:f>
        <x:v>409.9</x:v>
      </x:c>
      <x:c r="AC141" s="44" t="n">
        <x:f>'Monthly totals'!C113</x:f>
        <x:v>426.9</x:v>
      </x:c>
      <x:c r="AD141" s="44" t="n">
        <x:f>'Monthly totals'!D113</x:f>
        <x:v>-17</x:v>
      </x:c>
      <x:c r="AE141" s="44" t="n">
        <x:f>MAX(AD141,0)</x:f>
        <x:v>0</x:v>
      </x:c>
      <x:c r="AF141" s="44" t="n">
        <x:f>MIN(AD141,0)</x:f>
        <x:v>-17</x:v>
      </x:c>
      <x:c r="AI141" s="36" t="str">
        <x:f>AA134</x:f>
        <x:v>1932-09</x:v>
      </x:c>
      <x:c r="AJ141" s="68" t="n">
        <x:f>'Monthly totals'!I106</x:f>
        <x:v>33.84895894600635</x:v>
      </x:c>
      <x:c r="AK141" s="68" t="n">
        <x:f>'Monthly totals'!J106</x:f>
        <x:v>29.33014017045855</x:v>
      </x:c>
    </x:row>
    <x:row r="142" ht="18" customHeight="1">
      <x:c r="A142" s="70"/>
      <x:c r="B142" s="73" t="str">
        <x:v>Germany</x:v>
      </x:c>
      <x:c r="C142" s="73"/>
      <x:c r="D142" s="73"/>
      <x:c r="E142" s="73"/>
      <x:c r="F142" s="73"/>
      <x:c r="G142" s="78" t="n">
        <x:f>SUMIFS('Annual partners'!$G$2:$G$286,'Annual partners'!$A$2:$A$286,G$138,'Annual partners'!$B$2:$B$286,$B142)</x:f>
        <x:v>23.494170263314114</x:v>
      </x:c>
      <x:c r="H142" s="78" t="n">
        <x:f>SUMIFS('Annual partners'!$G$2:$G$286,'Annual partners'!$A$2:$A$286,H$138,'Annual partners'!$B$2:$B$286,$B142)</x:f>
        <x:v>24.91411785657017</x:v>
      </x:c>
      <x:c r="I142" s="78" t="n">
        <x:f>SUMIFS('Annual partners'!$G$2:$G$286,'Annual partners'!$A$2:$A$286,I$138,'Annual partners'!$B$2:$B$286,$B142)</x:f>
        <x:v>26.64417209004053</x:v>
      </x:c>
      <x:c r="J142" s="78" t="n">
        <x:f>SUMIFS('Annual partners'!$G$2:$G$286,'Annual partners'!$A$2:$A$286,J$138,'Annual partners'!$B$2:$B$286,$B142)</x:f>
        <x:v>40.87463399505327</x:v>
      </x:c>
      <x:c r="K142" s="78" t="n">
        <x:f>SUMIFS('Annual partners'!$G$2:$G$286,'Annual partners'!$A$2:$A$286,K$138,'Annual partners'!$B$2:$B$286,$B142)</x:f>
        <x:v>39.6301400284824</x:v>
      </x:c>
      <x:c r="L142" s="78" t="n">
        <x:f>SUMIFS('Annual partners'!$G$2:$G$286,'Annual partners'!$A$2:$A$286,L$138,'Annual partners'!$B$2:$B$286,$B142)</x:f>
        <x:v>37.33504687307283</x:v>
      </x:c>
      <x:c r="M142" s="78" t="n">
        <x:f>SUMIFS('Annual partners'!$G$2:$G$286,'Annual partners'!$A$2:$A$286,M$138,'Annual partners'!$B$2:$B$286,$B142)</x:f>
        <x:v>30.888103828379887</x:v>
      </x:c>
      <x:c r="N142" s="78" t="n">
        <x:f>SUMIFS('Annual partners'!$G$2:$G$286,'Annual partners'!$A$2:$A$286,N$138,'Annual partners'!$B$2:$B$286,$B142)</x:f>
        <x:v>36.404592856595656</x:v>
      </x:c>
      <x:c r="O142" s="78" t="n">
        <x:f>SUMIFS('Annual partners'!$G$2:$G$286,'Annual partners'!$A$2:$A$286,O$138,'Annual partners'!$B$2:$B$286,$B142)</x:f>
        <x:v>38.623102167894125</x:v>
      </x:c>
      <x:c r="P142" s="78" t="n">
        <x:f>SUMIFS('Annual partners'!$G$2:$G$286,'Annual partners'!$A$2:$A$286,P$138,'Annual partners'!$B$2:$B$286,$B142)</x:f>
        <x:v>38.454196838157685</x:v>
      </x:c>
      <x:c r="Q142" s="78" t="n">
        <x:f>SUMIFS('Annual partners'!$G$2:$G$286,'Annual partners'!$A$2:$A$286,Q$138,'Annual partners'!$B$2:$B$286,$B142)</x:f>
        <x:v>38.250398374037026</x:v>
      </x:c>
      <x:c r="R142" s="78" t="n">
        <x:f>SUMIFS('Annual partners'!$G$2:$G$286,'Annual partners'!$A$2:$A$286,R$138,'Annual partners'!$B$2:$B$286,$B142)</x:f>
        <x:v>40.60832835121459</x:v>
      </x:c>
      <x:c r="S142" s="78" t="n">
        <x:f>SUMIFS('Annual partners'!$G$2:$G$286,'Annual partners'!$A$2:$A$286,S$138,'Annual partners'!$B$2:$B$286,$B142)</x:f>
        <x:v>35.156046018626824</x:v>
      </x:c>
      <x:c r="T142" s="78" t="n">
        <x:f>SUMIFS('Annual partners'!$G$2:$G$286,'Annual partners'!$A$2:$A$286,T$138,'Annual partners'!$B$2:$B$286,$B142)</x:f>
        <x:v>28.96233851129009</x:v>
      </x:c>
      <x:c r="U142" s="78" t="n">
        <x:f>SUMIFS('Annual partners'!$G$2:$G$286,'Annual partners'!$A$2:$A$286,U$138,'Annual partners'!$B$2:$B$286,$B142)</x:f>
        <x:v>26.70706991056652</x:v>
      </x:c>
      <x:c r="V142" s="78" t="n">
        <x:f>SUMIFS('Annual partners'!$G$2:$G$286,'Annual partners'!$A$2:$A$286,V$138,'Annual partners'!$B$2:$B$286,$B142)</x:f>
        <x:v>22.778590616229092</x:v>
      </x:c>
      <x:c r="W142" s="78" t="n">
        <x:f>SUMIFS('Annual partners'!$G$2:$G$286,'Annual partners'!$A$2:$A$286,W$138,'Annual partners'!$B$2:$B$286,$B142)</x:f>
        <x:v>23.183198434913013</x:v>
      </x:c>
      <x:c r="X142" s="78" t="n">
        <x:f>SUMIFS('Annual partners'!$G$2:$G$286,'Annual partners'!$A$2:$A$286,X$138,'Annual partners'!$B$2:$B$286,$B142)</x:f>
        <x:v>17.338209644087716</x:v>
      </x:c>
      <x:c r="Y142" s="78" t="n">
        <x:f>SUMIFS('Annual partners'!$G$2:$G$286,'Annual partners'!$A$2:$A$286,Y$138,'Annual partners'!$B$2:$B$286,$B142)</x:f>
        <x:v>18.330579972160876</x:v>
      </x:c>
      <x:c r="Z142" s="70"/>
      <x:c r="AA142" s="46" t="str">
        <x:f>YEAR('Monthly totals'!A114)&amp;"-"&amp;IF(MONTH('Monthly totals'!A114)&lt;10,"0","")&amp;MONTH('Monthly totals'!A114)</x:f>
        <x:v>1933-05</x:v>
      </x:c>
      <x:c r="AB142" s="44" t="n">
        <x:f>'Monthly totals'!B114</x:f>
        <x:v>464.5</x:v>
      </x:c>
      <x:c r="AC142" s="44" t="n">
        <x:f>'Monthly totals'!C114</x:f>
        <x:v>473.2</x:v>
      </x:c>
      <x:c r="AD142" s="44" t="n">
        <x:f>'Monthly totals'!D114</x:f>
        <x:v>-8.699999999999989</x:v>
      </x:c>
      <x:c r="AE142" s="44" t="n">
        <x:f>MAX(AD142,0)</x:f>
        <x:v>0</x:v>
      </x:c>
      <x:c r="AF142" s="44" t="n">
        <x:f>MIN(AD142,0)</x:f>
        <x:v>-8.699999999999989</x:v>
      </x:c>
      <x:c r="AI142" s="36" t="str">
        <x:f>AA135</x:f>
        <x:v>1932-10</x:v>
      </x:c>
      <x:c r="AJ142" s="68" t="n">
        <x:f>'Monthly totals'!I107</x:f>
        <x:v>41.12457357957887</x:v>
      </x:c>
      <x:c r="AK142" s="68" t="n">
        <x:f>'Monthly totals'!J107</x:f>
        <x:v>37.541130419907624</x:v>
      </x:c>
    </x:row>
    <x:row r="143" ht="18" customHeight="1">
      <x:c r="A143" s="70"/>
      <x:c r="B143" s="73" t="str">
        <x:v>Hungary</x:v>
      </x:c>
      <x:c r="C143" s="73"/>
      <x:c r="D143" s="73"/>
      <x:c r="E143" s="73"/>
      <x:c r="F143" s="73"/>
      <x:c r="G143" s="78" t="n">
        <x:f>SUMIFS('Annual partners'!$G$2:$G$286,'Annual partners'!$A$2:$A$286,G$138,'Annual partners'!$B$2:$B$286,$B143)</x:f>
        <x:v>2.743356299881463</x:v>
      </x:c>
      <x:c r="H143" s="78" t="n">
        <x:f>SUMIFS('Annual partners'!$G$2:$G$286,'Annual partners'!$A$2:$A$286,H$138,'Annual partners'!$B$2:$B$286,$B143)</x:f>
        <x:v>3.9095870420579524</x:v>
      </x:c>
      <x:c r="I143" s="78" t="n">
        <x:f>SUMIFS('Annual partners'!$G$2:$G$286,'Annual partners'!$A$2:$A$286,I$138,'Annual partners'!$B$2:$B$286,$B143)</x:f>
        <x:v>5.075080398102958</x:v>
      </x:c>
      <x:c r="J143" s="78" t="n">
        <x:f>SUMIFS('Annual partners'!$G$2:$G$286,'Annual partners'!$A$2:$A$286,J$138,'Annual partners'!$B$2:$B$286,$B143)</x:f>
        <x:v>3.2622079584566595</x:v>
      </x:c>
      <x:c r="K143" s="78" t="n">
        <x:f>SUMIFS('Annual partners'!$G$2:$G$286,'Annual partners'!$A$2:$A$286,K$138,'Annual partners'!$B$2:$B$286,$B143)</x:f>
        <x:v>5.548555529548551</x:v>
      </x:c>
      <x:c r="L143" s="78" t="n">
        <x:f>SUMIFS('Annual partners'!$G$2:$G$286,'Annual partners'!$A$2:$A$286,L$138,'Annual partners'!$B$2:$B$286,$B143)</x:f>
        <x:v>6.36172061806172</x:v>
      </x:c>
      <x:c r="M143" s="78" t="n">
        <x:f>SUMIFS('Annual partners'!$G$2:$G$286,'Annual partners'!$A$2:$A$286,M$138,'Annual partners'!$B$2:$B$286,$B143)</x:f>
        <x:v>6.732337169531242</x:v>
      </x:c>
      <x:c r="N143" s="78" t="n">
        <x:f>SUMIFS('Annual partners'!$G$2:$G$286,'Annual partners'!$A$2:$A$286,N$138,'Annual partners'!$B$2:$B$286,$B143)</x:f>
        <x:v>5.360025191474805</x:v>
      </x:c>
      <x:c r="O143" s="78" t="n">
        <x:f>SUMIFS('Annual partners'!$G$2:$G$286,'Annual partners'!$A$2:$A$286,O$138,'Annual partners'!$B$2:$B$286,$B143)</x:f>
        <x:v>4.421050023003553</x:v>
      </x:c>
      <x:c r="P143" s="78" t="n">
        <x:f>SUMIFS('Annual partners'!$G$2:$G$286,'Annual partners'!$A$2:$A$286,P$138,'Annual partners'!$B$2:$B$286,$B143)</x:f>
        <x:v>4.845364667891714</x:v>
      </x:c>
      <x:c r="Q143" s="78" t="n">
        <x:f>SUMIFS('Annual partners'!$G$2:$G$286,'Annual partners'!$A$2:$A$286,Q$138,'Annual partners'!$B$2:$B$286,$B143)</x:f>
        <x:v>5.917972716031808</x:v>
      </x:c>
      <x:c r="R143" s="78" t="n">
        <x:f>SUMIFS('Annual partners'!$G$2:$G$286,'Annual partners'!$A$2:$A$286,R$138,'Annual partners'!$B$2:$B$286,$B143)</x:f>
        <x:v>1.1355417360314597</x:v>
      </x:c>
      <x:c r="S143" s="78" t="n">
        <x:f>SUMIFS('Annual partners'!$G$2:$G$286,'Annual partners'!$A$2:$A$286,S$138,'Annual partners'!$B$2:$B$286,$B143)</x:f>
        <x:v>1.48322230413314</x:v>
      </x:c>
      <x:c r="T143" s="78" t="n">
        <x:f>SUMIFS('Annual partners'!$G$2:$G$286,'Annual partners'!$A$2:$A$286,T$138,'Annual partners'!$B$2:$B$286,$B143)</x:f>
        <x:v>2.7264433660571843</x:v>
      </x:c>
      <x:c r="U143" s="78" t="n">
        <x:f>SUMIFS('Annual partners'!$G$2:$G$286,'Annual partners'!$A$2:$A$286,U$138,'Annual partners'!$B$2:$B$286,$B143)</x:f>
        <x:v>2.0034683205962356</x:v>
      </x:c>
      <x:c r="V143" s="78" t="n">
        <x:f>SUMIFS('Annual partners'!$G$2:$G$286,'Annual partners'!$A$2:$A$286,V$138,'Annual partners'!$B$2:$B$286,$B143)</x:f>
        <x:v>1.9723649426812953</x:v>
      </x:c>
      <x:c r="W143" s="78" t="n">
        <x:f>SUMIFS('Annual partners'!$G$2:$G$286,'Annual partners'!$A$2:$A$286,W$138,'Annual partners'!$B$2:$B$286,$B143)</x:f>
        <x:v>1.8192809670994408</x:v>
      </x:c>
      <x:c r="X143" s="78" t="n">
        <x:f>SUMIFS('Annual partners'!$G$2:$G$286,'Annual partners'!$A$2:$A$286,X$138,'Annual partners'!$B$2:$B$286,$B143)</x:f>
        <x:v>1.4606348880838602</x:v>
      </x:c>
      <x:c r="Y143" s="78" t="n">
        <x:f>SUMIFS('Annual partners'!$G$2:$G$286,'Annual partners'!$A$2:$A$286,Y$138,'Annual partners'!$B$2:$B$286,$B143)</x:f>
        <x:v>2.1453214531787763</x:v>
      </x:c>
      <x:c r="Z143" s="70"/>
      <x:c r="AA143" s="46" t="str">
        <x:f>YEAR('Monthly totals'!A115)&amp;"-"&amp;IF(MONTH('Monthly totals'!A115)&lt;10,"0","")&amp;MONTH('Monthly totals'!A115)</x:f>
        <x:v>1933-06</x:v>
      </x:c>
      <x:c r="AB143" s="44" t="n">
        <x:f>'Monthly totals'!B115</x:f>
        <x:v>454.3</x:v>
      </x:c>
      <x:c r="AC143" s="44" t="n">
        <x:f>'Monthly totals'!C115</x:f>
        <x:v>498.8</x:v>
      </x:c>
      <x:c r="AD143" s="44" t="n">
        <x:f>'Monthly totals'!D115</x:f>
        <x:v>-44.5</x:v>
      </x:c>
      <x:c r="AE143" s="44" t="n">
        <x:f>MAX(AD143,0)</x:f>
        <x:v>0</x:v>
      </x:c>
      <x:c r="AF143" s="44" t="n">
        <x:f>MIN(AD143,0)</x:f>
        <x:v>-44.5</x:v>
      </x:c>
      <x:c r="AI143" s="36" t="str">
        <x:f>AA136</x:f>
        <x:v>1932-11</x:v>
      </x:c>
      <x:c r="AJ143" s="68" t="n">
        <x:f>'Monthly totals'!I108</x:f>
        <x:v>37.27208563698389</x:v>
      </x:c>
      <x:c r="AK143" s="68" t="n">
        <x:f>'Monthly totals'!J108</x:f>
        <x:v>36.8830437013856</x:v>
      </x:c>
    </x:row>
    <x:row r="144" ht="18" customHeight="1">
      <x:c r="A144" s="70"/>
      <x:c r="B144" s="73" t="str">
        <x:v>Italy</x:v>
      </x:c>
      <x:c r="C144" s="73"/>
      <x:c r="D144" s="73"/>
      <x:c r="E144" s="73"/>
      <x:c r="F144" s="73"/>
      <x:c r="G144" s="78" t="n">
        <x:f>SUMIFS('Annual partners'!$G$2:$G$286,'Annual partners'!$A$2:$A$286,G$138,'Annual partners'!$B$2:$B$286,$B144)</x:f>
        <x:v>4.194491415824858</x:v>
      </x:c>
      <x:c r="H144" s="78" t="n">
        <x:f>SUMIFS('Annual partners'!$G$2:$G$286,'Annual partners'!$A$2:$A$286,H$138,'Annual partners'!$B$2:$B$286,$B144)</x:f>
        <x:v>3.094737906942202</x:v>
      </x:c>
      <x:c r="I144" s="78" t="n">
        <x:f>SUMIFS('Annual partners'!$G$2:$G$286,'Annual partners'!$A$2:$A$286,I$138,'Annual partners'!$B$2:$B$286,$B144)</x:f>
        <x:v>2.1962336225708707</x:v>
      </x:c>
      <x:c r="J144" s="78" t="n">
        <x:f>SUMIFS('Annual partners'!$G$2:$G$286,'Annual partners'!$A$2:$A$286,J$138,'Annual partners'!$B$2:$B$286,$B144)</x:f>
        <x:v>4.278760013499811</x:v>
      </x:c>
      <x:c r="K144" s="78" t="n">
        <x:f>SUMIFS('Annual partners'!$G$2:$G$286,'Annual partners'!$A$2:$A$286,K$138,'Annual partners'!$B$2:$B$286,$B144)</x:f>
        <x:v>6.237896730074351</x:v>
      </x:c>
      <x:c r="L144" s="78" t="n">
        <x:f>SUMIFS('Annual partners'!$G$2:$G$286,'Annual partners'!$A$2:$A$286,L$138,'Annual partners'!$B$2:$B$286,$B144)</x:f>
        <x:v>4.137787530116026</x:v>
      </x:c>
      <x:c r="M144" s="78" t="n">
        <x:f>SUMIFS('Annual partners'!$G$2:$G$286,'Annual partners'!$A$2:$A$286,M$138,'Annual partners'!$B$2:$B$286,$B144)</x:f>
        <x:v>2.212523919641917</x:v>
      </x:c>
      <x:c r="N144" s="78" t="n">
        <x:f>SUMIFS('Annual partners'!$G$2:$G$286,'Annual partners'!$A$2:$A$286,N$138,'Annual partners'!$B$2:$B$286,$B144)</x:f>
        <x:v>3.5370171262834025</x:v>
      </x:c>
      <x:c r="O144" s="78" t="n">
        <x:f>SUMIFS('Annual partners'!$G$2:$G$286,'Annual partners'!$A$2:$A$286,O$138,'Annual partners'!$B$2:$B$286,$B144)</x:f>
        <x:v>3.3437382519059993</x:v>
      </x:c>
      <x:c r="P144" s="78" t="n">
        <x:f>SUMIFS('Annual partners'!$G$2:$G$286,'Annual partners'!$A$2:$A$286,P$138,'Annual partners'!$B$2:$B$286,$B144)</x:f>
        <x:v>3.633160432346999</x:v>
      </x:c>
      <x:c r="Q144" s="78" t="n">
        <x:f>SUMIFS('Annual partners'!$G$2:$G$286,'Annual partners'!$A$2:$A$286,Q$138,'Annual partners'!$B$2:$B$286,$B144)</x:f>
        <x:v>3.3358166020268025</x:v>
      </x:c>
      <x:c r="R144" s="78" t="n">
        <x:f>SUMIFS('Annual partners'!$G$2:$G$286,'Annual partners'!$A$2:$A$286,R$138,'Annual partners'!$B$2:$B$286,$B144)</x:f>
        <x:v>3.9320251158104274</x:v>
      </x:c>
      <x:c r="S144" s="78" t="n">
        <x:f>SUMIFS('Annual partners'!$G$2:$G$286,'Annual partners'!$A$2:$A$286,S$138,'Annual partners'!$B$2:$B$286,$B144)</x:f>
        <x:v>3.6896687069758274</x:v>
      </x:c>
      <x:c r="T144" s="78" t="n">
        <x:f>SUMIFS('Annual partners'!$G$2:$G$286,'Annual partners'!$A$2:$A$286,T$138,'Annual partners'!$B$2:$B$286,$B144)</x:f>
        <x:v>4.897802453994942</x:v>
      </x:c>
      <x:c r="U144" s="78" t="n">
        <x:f>SUMIFS('Annual partners'!$G$2:$G$286,'Annual partners'!$A$2:$A$286,U$138,'Annual partners'!$B$2:$B$286,$B144)</x:f>
        <x:v>4.114797531622141</x:v>
      </x:c>
      <x:c r="V144" s="78" t="n">
        <x:f>SUMIFS('Annual partners'!$G$2:$G$286,'Annual partners'!$A$2:$A$286,V$138,'Annual partners'!$B$2:$B$286,$B144)</x:f>
        <x:v>3.5888144069840107</x:v>
      </x:c>
      <x:c r="W144" s="78" t="n">
        <x:f>SUMIFS('Annual partners'!$G$2:$G$286,'Annual partners'!$A$2:$A$286,W$138,'Annual partners'!$B$2:$B$286,$B144)</x:f>
        <x:v>1.2002200824614366</x:v>
      </x:c>
      <x:c r="X144" s="78" t="n">
        <x:f>SUMIFS('Annual partners'!$G$2:$G$286,'Annual partners'!$A$2:$A$286,X$138,'Annual partners'!$B$2:$B$286,$B144)</x:f>
        <x:v>2.3676126614825663</x:v>
      </x:c>
      <x:c r="Y144" s="78" t="n">
        <x:f>SUMIFS('Annual partners'!$G$2:$G$286,'Annual partners'!$A$2:$A$286,Y$138,'Annual partners'!$B$2:$B$286,$B144)</x:f>
        <x:v>2.7650809840970894</x:v>
      </x:c>
      <x:c r="Z144" s="70"/>
      <x:c r="AA144" s="46" t="str">
        <x:f>YEAR('Monthly totals'!A116)&amp;"-"&amp;IF(MONTH('Monthly totals'!A116)&lt;10,"0","")&amp;MONTH('Monthly totals'!A116)</x:f>
        <x:v>1933-07</x:v>
      </x:c>
      <x:c r="AB144" s="44" t="n">
        <x:f>'Monthly totals'!B116</x:f>
        <x:v>496.5</x:v>
      </x:c>
      <x:c r="AC144" s="44" t="n">
        <x:f>'Monthly totals'!C116</x:f>
        <x:v>579.3</x:v>
      </x:c>
      <x:c r="AD144" s="44" t="n">
        <x:f>'Monthly totals'!D116</x:f>
        <x:v>-82.79999999999995</x:v>
      </x:c>
      <x:c r="AE144" s="44" t="n">
        <x:f>MAX(AD144,0)</x:f>
        <x:v>0</x:v>
      </x:c>
      <x:c r="AF144" s="44" t="n">
        <x:f>MIN(AD144,0)</x:f>
        <x:v>-82.79999999999995</x:v>
      </x:c>
      <x:c r="AI144" s="36" t="str">
        <x:f>AA137</x:f>
        <x:v>1932-12</x:v>
      </x:c>
      <x:c r="AJ144" s="68" t="n">
        <x:f>'Monthly totals'!I109</x:f>
        <x:v>39.86001646865075</x:v>
      </x:c>
      <x:c r="AK144" s="68" t="n">
        <x:f>'Monthly totals'!J109</x:f>
        <x:v>46.67585707241973</x:v>
      </x:c>
    </x:row>
    <x:row r="145" ht="18" customHeight="1">
      <x:c r="A145" s="70"/>
      <x:c r="B145" s="73" t="str">
        <x:v>Netherlands</x:v>
      </x:c>
      <x:c r="C145" s="73"/>
      <x:c r="D145" s="73"/>
      <x:c r="E145" s="73"/>
      <x:c r="F145" s="73"/>
      <x:c r="G145" s="78" t="n">
        <x:f>SUMIFS('Annual partners'!$G$2:$G$286,'Annual partners'!$A$2:$A$286,G$138,'Annual partners'!$B$2:$B$286,$B145)</x:f>
        <x:v>5.503440382079276</x:v>
      </x:c>
      <x:c r="H145" s="78" t="n">
        <x:f>SUMIFS('Annual partners'!$G$2:$G$286,'Annual partners'!$A$2:$A$286,H$138,'Annual partners'!$B$2:$B$286,$B145)</x:f>
        <x:v>4.669549966000103</x:v>
      </x:c>
      <x:c r="I145" s="78" t="n">
        <x:f>SUMIFS('Annual partners'!$G$2:$G$286,'Annual partners'!$A$2:$A$286,I$138,'Annual partners'!$B$2:$B$286,$B145)</x:f>
        <x:v>3.1756351029065297</x:v>
      </x:c>
      <x:c r="J145" s="78" t="n">
        <x:f>SUMIFS('Annual partners'!$G$2:$G$286,'Annual partners'!$A$2:$A$286,J$138,'Annual partners'!$B$2:$B$286,$B145)</x:f>
        <x:v>3.844415044526828</x:v>
      </x:c>
      <x:c r="K145" s="78" t="n">
        <x:f>SUMIFS('Annual partners'!$G$2:$G$286,'Annual partners'!$A$2:$A$286,K$138,'Annual partners'!$B$2:$B$286,$B145)</x:f>
        <x:v>3.018252691330768</x:v>
      </x:c>
      <x:c r="L145" s="78" t="n">
        <x:f>SUMIFS('Annual partners'!$G$2:$G$286,'Annual partners'!$A$2:$A$286,L$138,'Annual partners'!$B$2:$B$286,$B145)</x:f>
        <x:v>2.8995957625650104</x:v>
      </x:c>
      <x:c r="M145" s="78" t="n">
        <x:f>SUMIFS('Annual partners'!$G$2:$G$286,'Annual partners'!$A$2:$A$286,M$138,'Annual partners'!$B$2:$B$286,$B145)</x:f>
        <x:v>3.3447797625542894</x:v>
      </x:c>
      <x:c r="N145" s="78" t="n">
        <x:f>SUMIFS('Annual partners'!$G$2:$G$286,'Annual partners'!$A$2:$A$286,N$138,'Annual partners'!$B$2:$B$286,$B145)</x:f>
        <x:v>2.0985286860347654</x:v>
      </x:c>
      <x:c r="O145" s="78" t="n">
        <x:f>SUMIFS('Annual partners'!$G$2:$G$286,'Annual partners'!$A$2:$A$286,O$138,'Annual partners'!$B$2:$B$286,$B145)</x:f>
        <x:v>1.404869651830291</x:v>
      </x:c>
      <x:c r="P145" s="78" t="n">
        <x:f>SUMIFS('Annual partners'!$G$2:$G$286,'Annual partners'!$A$2:$A$286,P$138,'Annual partners'!$B$2:$B$286,$B145)</x:f>
        <x:v>1.560974128586344</x:v>
      </x:c>
      <x:c r="Q145" s="78" t="n">
        <x:f>SUMIFS('Annual partners'!$G$2:$G$286,'Annual partners'!$A$2:$A$286,Q$138,'Annual partners'!$B$2:$B$286,$B145)</x:f>
        <x:v>1.3167581564622184</x:v>
      </x:c>
      <x:c r="R145" s="78" t="n">
        <x:f>SUMIFS('Annual partners'!$G$2:$G$286,'Annual partners'!$A$2:$A$286,R$138,'Annual partners'!$B$2:$B$286,$B145)</x:f>
        <x:v>1.9999093261449588</x:v>
      </x:c>
      <x:c r="S145" s="78" t="n">
        <x:f>SUMIFS('Annual partners'!$G$2:$G$286,'Annual partners'!$A$2:$A$286,S$138,'Annual partners'!$B$2:$B$286,$B145)</x:f>
        <x:v>2.2064464028426873</x:v>
      </x:c>
      <x:c r="T145" s="78" t="n">
        <x:f>SUMIFS('Annual partners'!$G$2:$G$286,'Annual partners'!$A$2:$A$286,T$138,'Annual partners'!$B$2:$B$286,$B145)</x:f>
        <x:v>3.052963529656847</x:v>
      </x:c>
      <x:c r="U145" s="78" t="n">
        <x:f>SUMIFS('Annual partners'!$G$2:$G$286,'Annual partners'!$A$2:$A$286,U$138,'Annual partners'!$B$2:$B$286,$B145)</x:f>
        <x:v>3.692365845866256</x:v>
      </x:c>
      <x:c r="V145" s="78" t="n">
        <x:f>SUMIFS('Annual partners'!$G$2:$G$286,'Annual partners'!$A$2:$A$286,V$138,'Annual partners'!$B$2:$B$286,$B145)</x:f>
        <x:v>4.345134798538492</x:v>
      </x:c>
      <x:c r="W145" s="78" t="n">
        <x:f>SUMIFS('Annual partners'!$G$2:$G$286,'Annual partners'!$A$2:$A$286,W$138,'Annual partners'!$B$2:$B$286,$B145)</x:f>
        <x:v>4.232355027627171</x:v>
      </x:c>
      <x:c r="X145" s="78" t="n">
        <x:f>SUMIFS('Annual partners'!$G$2:$G$286,'Annual partners'!$A$2:$A$286,X$138,'Annual partners'!$B$2:$B$286,$B145)</x:f>
        <x:v>3.788180258372106</x:v>
      </x:c>
      <x:c r="Y145" s="78" t="n">
        <x:f>SUMIFS('Annual partners'!$G$2:$G$286,'Annual partners'!$A$2:$A$286,Y$138,'Annual partners'!$B$2:$B$286,$B145)</x:f>
        <x:v>3.2060637272505046</x:v>
      </x:c>
      <x:c r="Z145" s="70"/>
      <x:c r="AA145" s="46" t="str">
        <x:f>YEAR('Monthly totals'!A117)&amp;"-"&amp;IF(MONTH('Monthly totals'!A117)&lt;10,"0","")&amp;MONTH('Monthly totals'!A117)</x:f>
        <x:v>1933-08</x:v>
      </x:c>
      <x:c r="AB145" s="44" t="n">
        <x:f>'Monthly totals'!B117</x:f>
        <x:v>443.2</x:v>
      </x:c>
      <x:c r="AC145" s="44" t="n">
        <x:f>'Monthly totals'!C117</x:f>
        <x:v>422.5</x:v>
      </x:c>
      <x:c r="AD145" s="44" t="n">
        <x:f>'Monthly totals'!D117</x:f>
        <x:v>20.69999999999999</x:v>
      </x:c>
      <x:c r="AE145" s="44" t="n">
        <x:f>MAX(AD145,0)</x:f>
        <x:v>20.69999999999999</x:v>
      </x:c>
      <x:c r="AF145" s="44" t="n">
        <x:f>MIN(AD145,0)</x:f>
        <x:v>0</x:v>
      </x:c>
      <x:c r="AI145" s="36" t="str">
        <x:f>AA138</x:f>
        <x:v>1933-01</x:v>
      </x:c>
      <x:c r="AJ145" s="68" t="n">
        <x:f>'Monthly totals'!I110</x:f>
        <x:v>22.738501352782023</x:v>
      </x:c>
      <x:c r="AK145" s="68" t="n">
        <x:f>'Monthly totals'!J110</x:f>
        <x:v>22.924360277322172</x:v>
      </x:c>
    </x:row>
    <x:row r="146" ht="18" customHeight="1">
      <x:c r="A146" s="70"/>
      <x:c r="B146" s="73" t="str">
        <x:v>Poland</x:v>
      </x:c>
      <x:c r="C146" s="73"/>
      <x:c r="D146" s="73"/>
      <x:c r="E146" s="73"/>
      <x:c r="F146" s="73"/>
      <x:c r="G146" s="78" t="n">
        <x:f>SUMIFS('Annual partners'!$G$2:$G$286,'Annual partners'!$A$2:$A$286,G$138,'Annual partners'!$B$2:$B$286,$B146)</x:f>
        <x:v>1.6685962860559507</x:v>
      </x:c>
      <x:c r="H146" s="78" t="n">
        <x:f>SUMIFS('Annual partners'!$G$2:$G$286,'Annual partners'!$A$2:$A$286,H$138,'Annual partners'!$B$2:$B$286,$B146)</x:f>
        <x:v>1.6212542377432546</x:v>
      </x:c>
      <x:c r="I146" s="78" t="n">
        <x:f>SUMIFS('Annual partners'!$G$2:$G$286,'Annual partners'!$A$2:$A$286,I$138,'Annual partners'!$B$2:$B$286,$B146)</x:f>
        <x:v>2.4039854517329804</x:v>
      </x:c>
      <x:c r="J146" s="78" t="n">
        <x:f>SUMIFS('Annual partners'!$G$2:$G$286,'Annual partners'!$A$2:$A$286,J$138,'Annual partners'!$B$2:$B$286,$B146)</x:f>
        <x:v>3.474759751783864</x:v>
      </x:c>
      <x:c r="K146" s="78" t="n">
        <x:f>SUMIFS('Annual partners'!$G$2:$G$286,'Annual partners'!$A$2:$A$286,K$138,'Annual partners'!$B$2:$B$286,$B146)</x:f>
        <x:v>4.560186337139208</x:v>
      </x:c>
      <x:c r="L146" s="78" t="n">
        <x:f>SUMIFS('Annual partners'!$G$2:$G$286,'Annual partners'!$A$2:$A$286,L$138,'Annual partners'!$B$2:$B$286,$B146)</x:f>
        <x:v>7.0285741757444935</x:v>
      </x:c>
      <x:c r="M146" s="78" t="n">
        <x:f>SUMIFS('Annual partners'!$G$2:$G$286,'Annual partners'!$A$2:$A$286,M$138,'Annual partners'!$B$2:$B$286,$B146)</x:f>
        <x:v>7.178520765420686</x:v>
      </x:c>
      <x:c r="N146" s="78" t="n">
        <x:f>SUMIFS('Annual partners'!$G$2:$G$286,'Annual partners'!$A$2:$A$286,N$138,'Annual partners'!$B$2:$B$286,$B146)</x:f>
        <x:v>5.877984806725802</x:v>
      </x:c>
      <x:c r="O146" s="78" t="n">
        <x:f>SUMIFS('Annual partners'!$G$2:$G$286,'Annual partners'!$A$2:$A$286,O$138,'Annual partners'!$B$2:$B$286,$B146)</x:f>
        <x:v>6.589574093538478</x:v>
      </x:c>
      <x:c r="P146" s="78" t="n">
        <x:f>SUMIFS('Annual partners'!$G$2:$G$286,'Annual partners'!$A$2:$A$286,P$138,'Annual partners'!$B$2:$B$286,$B146)</x:f>
        <x:v>6.550001508177882</x:v>
      </x:c>
      <x:c r="Q146" s="78" t="n">
        <x:f>SUMIFS('Annual partners'!$G$2:$G$286,'Annual partners'!$A$2:$A$286,Q$138,'Annual partners'!$B$2:$B$286,$B146)</x:f>
        <x:v>5.597447148026253</x:v>
      </x:c>
      <x:c r="R146" s="78" t="n">
        <x:f>SUMIFS('Annual partners'!$G$2:$G$286,'Annual partners'!$A$2:$A$286,R$138,'Annual partners'!$B$2:$B$286,$B146)</x:f>
        <x:v>5.2709474612803575</x:v>
      </x:c>
      <x:c r="S146" s="78" t="n">
        <x:f>SUMIFS('Annual partners'!$G$2:$G$286,'Annual partners'!$A$2:$A$286,S$138,'Annual partners'!$B$2:$B$286,$B146)</x:f>
        <x:v>4.5354731613988575</x:v>
      </x:c>
      <x:c r="T146" s="78" t="n">
        <x:f>SUMIFS('Annual partners'!$G$2:$G$286,'Annual partners'!$A$2:$A$286,T$138,'Annual partners'!$B$2:$B$286,$B146)</x:f>
        <x:v>3.1182675623767797</x:v>
      </x:c>
      <x:c r="U146" s="78" t="n">
        <x:f>SUMIFS('Annual partners'!$G$2:$G$286,'Annual partners'!$A$2:$A$286,U$138,'Annual partners'!$B$2:$B$286,$B146)</x:f>
        <x:v>3.676720227875297</x:v>
      </x:c>
      <x:c r="V146" s="78" t="n">
        <x:f>SUMIFS('Annual partners'!$G$2:$G$286,'Annual partners'!$A$2:$A$286,V$138,'Annual partners'!$B$2:$B$286,$B146)</x:f>
        <x:v>3.7371125229750857</x:v>
      </x:c>
      <x:c r="W146" s="78" t="n">
        <x:f>SUMIFS('Annual partners'!$G$2:$G$286,'Annual partners'!$A$2:$A$286,W$138,'Annual partners'!$B$2:$B$286,$B146)</x:f>
        <x:v>2.7920909286734474</x:v>
      </x:c>
      <x:c r="X146" s="78" t="n">
        <x:f>SUMIFS('Annual partners'!$G$2:$G$286,'Annual partners'!$A$2:$A$286,X$138,'Annual partners'!$B$2:$B$286,$B146)</x:f>
        <x:v>2.540630509821677</x:v>
      </x:c>
      <x:c r="Y146" s="78" t="n">
        <x:f>SUMIFS('Annual partners'!$G$2:$G$286,'Annual partners'!$A$2:$A$286,Y$138,'Annual partners'!$B$2:$B$286,$B146)</x:f>
        <x:v>2.8604286042383684</x:v>
      </x:c>
      <x:c r="Z146" s="70"/>
      <x:c r="AA146" s="46" t="str">
        <x:f>YEAR('Monthly totals'!A118)&amp;"-"&amp;IF(MONTH('Monthly totals'!A118)&lt;10,"0","")&amp;MONTH('Monthly totals'!A118)</x:f>
        <x:v>1933-09</x:v>
      </x:c>
      <x:c r="AB146" s="44" t="n">
        <x:f>'Monthly totals'!B118</x:f>
        <x:v>547.7</x:v>
      </x:c>
      <x:c r="AC146" s="44" t="n">
        <x:f>'Monthly totals'!C118</x:f>
        <x:v>488.6</x:v>
      </x:c>
      <x:c r="AD146" s="44" t="n">
        <x:f>'Monthly totals'!D118</x:f>
        <x:v>59.10000000000002</x:v>
      </x:c>
      <x:c r="AE146" s="44" t="n">
        <x:f>MAX(AD146,0)</x:f>
        <x:v>59.10000000000002</x:v>
      </x:c>
      <x:c r="AF146" s="44" t="n">
        <x:f>MIN(AD146,0)</x:f>
        <x:v>0</x:v>
      </x:c>
      <x:c r="AI146" s="36" t="str">
        <x:f>AA139</x:f>
        <x:v>1933-02</x:v>
      </x:c>
      <x:c r="AJ146" s="68" t="n">
        <x:f>'Monthly totals'!I111</x:f>
        <x:v>25.90871662157393</x:v>
      </x:c>
      <x:c r="AK146" s="68" t="n">
        <x:f>'Monthly totals'!J111</x:f>
        <x:v>22.24212358747824</x:v>
      </x:c>
    </x:row>
    <x:row r="147" ht="18" customHeight="1">
      <x:c r="A147" s="70"/>
      <x:c r="B147" s="73" t="str">
        <x:v>Romania</x:v>
      </x:c>
      <x:c r="C147" s="73"/>
      <x:c r="D147" s="73"/>
      <x:c r="E147" s="73"/>
      <x:c r="F147" s="73"/>
      <x:c r="G147" s="78" t="n">
        <x:f>SUMIFS('Annual partners'!$G$2:$G$286,'Annual partners'!$A$2:$A$286,G$138,'Annual partners'!$B$2:$B$286,$B147)</x:f>
        <x:v>1.2880392383589796</x:v>
      </x:c>
      <x:c r="H147" s="78" t="n">
        <x:f>SUMIFS('Annual partners'!$G$2:$G$286,'Annual partners'!$A$2:$A$286,H$138,'Annual partners'!$B$2:$B$286,$B147)</x:f>
        <x:v>2.0350118296673143</x:v>
      </x:c>
      <x:c r="I147" s="78" t="n">
        <x:f>SUMIFS('Annual partners'!$G$2:$G$286,'Annual partners'!$A$2:$A$286,I$138,'Annual partners'!$B$2:$B$286,$B147)</x:f>
        <x:v>3.1904745192752517</x:v>
      </x:c>
      <x:c r="J147" s="78" t="n">
        <x:f>SUMIFS('Annual partners'!$G$2:$G$286,'Annual partners'!$A$2:$A$286,J$138,'Annual partners'!$B$2:$B$286,$B147)</x:f>
        <x:v>1.7188971112547837</x:v>
      </x:c>
      <x:c r="K147" s="78" t="n">
        <x:f>SUMIFS('Annual partners'!$G$2:$G$286,'Annual partners'!$A$2:$A$286,K$138,'Annual partners'!$B$2:$B$286,$B147)</x:f>
        <x:v>2.9463055851629636</x:v>
      </x:c>
      <x:c r="L147" s="78" t="n">
        <x:f>SUMIFS('Annual partners'!$G$2:$G$286,'Annual partners'!$A$2:$A$286,L$138,'Annual partners'!$B$2:$B$286,$B147)</x:f>
        <x:v>2.094594590759475</x:v>
      </x:c>
      <x:c r="M147" s="78" t="n">
        <x:f>SUMIFS('Annual partners'!$G$2:$G$286,'Annual partners'!$A$2:$A$286,M$138,'Annual partners'!$B$2:$B$286,$B147)</x:f>
        <x:v>3.148140062713925</x:v>
      </x:c>
      <x:c r="N147" s="78" t="n">
        <x:f>SUMIFS('Annual partners'!$G$2:$G$286,'Annual partners'!$A$2:$A$286,N$138,'Annual partners'!$B$2:$B$286,$B147)</x:f>
        <x:v>3.6901101191695713</x:v>
      </x:c>
      <x:c r="O147" s="78" t="n">
        <x:f>SUMIFS('Annual partners'!$G$2:$G$286,'Annual partners'!$A$2:$A$286,O$138,'Annual partners'!$B$2:$B$286,$B147)</x:f>
        <x:v>2.788721913058391</x:v>
      </x:c>
      <x:c r="P147" s="78" t="n">
        <x:f>SUMIFS('Annual partners'!$G$2:$G$286,'Annual partners'!$A$2:$A$286,P$138,'Annual partners'!$B$2:$B$286,$B147)</x:f>
        <x:v>2.372323723317402</x:v>
      </x:c>
      <x:c r="Q147" s="78" t="n">
        <x:f>SUMIFS('Annual partners'!$G$2:$G$286,'Annual partners'!$A$2:$A$286,Q$138,'Annual partners'!$B$2:$B$286,$B147)</x:f>
        <x:v>3.578993239557115</x:v>
      </x:c>
      <x:c r="R147" s="78" t="n">
        <x:f>SUMIFS('Annual partners'!$G$2:$G$286,'Annual partners'!$A$2:$A$286,R$138,'Annual partners'!$B$2:$B$286,$B147)</x:f>
        <x:v>4.804866897983863</x:v>
      </x:c>
      <x:c r="S147" s="78" t="n">
        <x:f>SUMIFS('Annual partners'!$G$2:$G$286,'Annual partners'!$A$2:$A$286,S$138,'Annual partners'!$B$2:$B$286,$B147)</x:f>
        <x:v>4.106441916401669</x:v>
      </x:c>
      <x:c r="T147" s="78" t="n">
        <x:f>SUMIFS('Annual partners'!$G$2:$G$286,'Annual partners'!$A$2:$A$286,T$138,'Annual partners'!$B$2:$B$286,$B147)</x:f>
        <x:v>2.8829608064786822</x:v>
      </x:c>
      <x:c r="U147" s="78" t="n">
        <x:f>SUMIFS('Annual partners'!$G$2:$G$286,'Annual partners'!$A$2:$A$286,U$138,'Annual partners'!$B$2:$B$286,$B147)</x:f>
        <x:v>2.89914865934264</x:v>
      </x:c>
      <x:c r="V147" s="78" t="n">
        <x:f>SUMIFS('Annual partners'!$G$2:$G$286,'Annual partners'!$A$2:$A$286,V$138,'Annual partners'!$B$2:$B$286,$B147)</x:f>
        <x:v>3.848336109968392</x:v>
      </x:c>
      <x:c r="W147" s="78" t="n">
        <x:f>SUMIFS('Annual partners'!$G$2:$G$286,'Annual partners'!$A$2:$A$286,W$138,'Annual partners'!$B$2:$B$286,$B147)</x:f>
        <x:v>4.5658898715954015</x:v>
      </x:c>
      <x:c r="X147" s="78" t="n">
        <x:f>SUMIFS('Annual partners'!$G$2:$G$286,'Annual partners'!$A$2:$A$286,X$138,'Annual partners'!$B$2:$B$286,$B147)</x:f>
        <x:v>4.8426785129862635</x:v>
      </x:c>
      <x:c r="Y147" s="78" t="n">
        <x:f>SUMIFS('Annual partners'!$G$2:$G$286,'Annual partners'!$A$2:$A$286,Y$138,'Annual partners'!$B$2:$B$286,$B147)</x:f>
        <x:v>5.9592262588299345</x:v>
      </x:c>
      <x:c r="Z147" s="70"/>
      <x:c r="AA147" s="46" t="str">
        <x:f>YEAR('Monthly totals'!A119)&amp;"-"&amp;IF(MONTH('Monthly totals'!A119)&lt;10,"0","")&amp;MONTH('Monthly totals'!A119)</x:f>
        <x:v>1933-10</x:v>
      </x:c>
      <x:c r="AB147" s="44" t="n">
        <x:f>'Monthly totals'!B119</x:f>
        <x:v>574.5</x:v>
      </x:c>
      <x:c r="AC147" s="44" t="n">
        <x:f>'Monthly totals'!C119</x:f>
        <x:v>530</x:v>
      </x:c>
      <x:c r="AD147" s="44" t="n">
        <x:f>'Monthly totals'!D119</x:f>
        <x:v>44.5</x:v>
      </x:c>
      <x:c r="AE147" s="44" t="n">
        <x:f>MAX(AD147,0)</x:f>
        <x:v>44.5</x:v>
      </x:c>
      <x:c r="AF147" s="44" t="n">
        <x:f>MIN(AD147,0)</x:f>
        <x:v>0</x:v>
      </x:c>
      <x:c r="AI147" s="36" t="str">
        <x:f>AA140</x:f>
        <x:v>1933-03</x:v>
      </x:c>
      <x:c r="AJ147" s="68" t="n">
        <x:f>'Monthly totals'!I112</x:f>
        <x:v>27.879073050229383</x:v>
      </x:c>
      <x:c r="AK147" s="68" t="n">
        <x:f>'Monthly totals'!J112</x:f>
        <x:v>27.307580072248665</x:v>
      </x:c>
    </x:row>
    <x:row r="148" ht="18" customHeight="1">
      <x:c r="A148" s="70"/>
      <x:c r="B148" s="73" t="str">
        <x:v>Sweden</x:v>
      </x:c>
      <x:c r="C148" s="73"/>
      <x:c r="D148" s="73"/>
      <x:c r="E148" s="73"/>
      <x:c r="F148" s="73"/>
      <x:c r="G148" s="78" t="n">
        <x:f>SUMIFS('Annual partners'!$G$2:$G$286,'Annual partners'!$A$2:$A$286,G$138,'Annual partners'!$B$2:$B$286,$B148)</x:f>
        <x:v>1.5305920819460601</x:v>
      </x:c>
      <x:c r="H148" s="78" t="n">
        <x:f>SUMIFS('Annual partners'!$G$2:$G$286,'Annual partners'!$A$2:$A$286,H$138,'Annual partners'!$B$2:$B$286,$B148)</x:f>
        <x:v>0.3208732345533525</x:v>
      </x:c>
      <x:c r="I148" s="78" t="n">
        <x:f>SUMIFS('Annual partners'!$G$2:$G$286,'Annual partners'!$A$2:$A$286,I$138,'Annual partners'!$B$2:$B$286,$B148)</x:f>
        <x:v>0.3413065764806083</x:v>
      </x:c>
      <x:c r="J148" s="78" t="n">
        <x:f>SUMIFS('Annual partners'!$G$2:$G$286,'Annual partners'!$A$2:$A$286,J$138,'Annual partners'!$B$2:$B$286,$B148)</x:f>
        <x:v>1.91296613994484</x:v>
      </x:c>
      <x:c r="K148" s="78" t="n">
        <x:f>SUMIFS('Annual partners'!$G$2:$G$286,'Annual partners'!$A$2:$A$286,K$138,'Annual partners'!$B$2:$B$286,$B148)</x:f>
        <x:v>1.1578835630033564</x:v>
      </x:c>
      <x:c r="L148" s="78" t="n">
        <x:f>SUMIFS('Annual partners'!$G$2:$G$286,'Annual partners'!$A$2:$A$286,L$138,'Annual partners'!$B$2:$B$286,$B148)</x:f>
        <x:v>1.1986983167491678</x:v>
      </x:c>
      <x:c r="M148" s="78" t="n">
        <x:f>SUMIFS('Annual partners'!$G$2:$G$286,'Annual partners'!$A$2:$A$286,M$138,'Annual partners'!$B$2:$B$286,$B148)</x:f>
        <x:v>1.400737110853536</x:v>
      </x:c>
      <x:c r="N148" s="78" t="n">
        <x:f>SUMIFS('Annual partners'!$G$2:$G$286,'Annual partners'!$A$2:$A$286,N$138,'Annual partners'!$B$2:$B$286,$B148)</x:f>
        <x:v>1.286898651525652</x:v>
      </x:c>
      <x:c r="O148" s="78" t="n">
        <x:f>SUMIFS('Annual partners'!$G$2:$G$286,'Annual partners'!$A$2:$A$286,O$138,'Annual partners'!$B$2:$B$286,$B148)</x:f>
        <x:v>1.3720654461863955</x:v>
      </x:c>
      <x:c r="P148" s="78" t="n">
        <x:f>SUMIFS('Annual partners'!$G$2:$G$286,'Annual partners'!$A$2:$A$286,P$138,'Annual partners'!$B$2:$B$286,$B148)</x:f>
        <x:v>1.635040193191073</x:v>
      </x:c>
      <x:c r="Q148" s="78" t="n">
        <x:f>SUMIFS('Annual partners'!$G$2:$G$286,'Annual partners'!$A$2:$A$286,Q$138,'Annual partners'!$B$2:$B$286,$B148)</x:f>
        <x:v>1.6970883520783318</x:v>
      </x:c>
      <x:c r="R148" s="78" t="n">
        <x:f>SUMIFS('Annual partners'!$G$2:$G$286,'Annual partners'!$A$2:$A$286,R$138,'Annual partners'!$B$2:$B$286,$B148)</x:f>
        <x:v>1.8643222531859784</x:v>
      </x:c>
      <x:c r="S148" s="78" t="n">
        <x:f>SUMIFS('Annual partners'!$G$2:$G$286,'Annual partners'!$A$2:$A$286,S$138,'Annual partners'!$B$2:$B$286,$B148)</x:f>
        <x:v>0.7109660631381993</x:v>
      </x:c>
      <x:c r="T148" s="78" t="n">
        <x:f>SUMIFS('Annual partners'!$G$2:$G$286,'Annual partners'!$A$2:$A$286,T$138,'Annual partners'!$B$2:$B$286,$B148)</x:f>
        <x:v>1.0938425480588703</x:v>
      </x:c>
      <x:c r="U148" s="78" t="n">
        <x:f>SUMIFS('Annual partners'!$G$2:$G$286,'Annual partners'!$A$2:$A$286,U$138,'Annual partners'!$B$2:$B$286,$B148)</x:f>
        <x:v>1.893119776906004</x:v>
      </x:c>
      <x:c r="V148" s="78" t="n">
        <x:f>SUMIFS('Annual partners'!$G$2:$G$286,'Annual partners'!$A$2:$A$286,V$138,'Annual partners'!$B$2:$B$286,$B148)</x:f>
        <x:v>2.2393015514652297</x:v>
      </x:c>
      <x:c r="W148" s="78" t="n">
        <x:f>SUMIFS('Annual partners'!$G$2:$G$286,'Annual partners'!$A$2:$A$286,W$138,'Annual partners'!$B$2:$B$286,$B148)</x:f>
        <x:v>2.5583638599835887</x:v>
      </x:c>
      <x:c r="X148" s="78" t="n">
        <x:f>SUMIFS('Annual partners'!$G$2:$G$286,'Annual partners'!$A$2:$A$286,X$138,'Annual partners'!$B$2:$B$286,$B148)</x:f>
        <x:v>3.8063926634604335</x:v>
      </x:c>
      <x:c r="Y148" s="78" t="n">
        <x:f>SUMIFS('Annual partners'!$G$2:$G$286,'Annual partners'!$A$2:$A$286,Y$138,'Annual partners'!$B$2:$B$286,$B148)</x:f>
        <x:v>4.147621476145634</x:v>
      </x:c>
      <x:c r="Z148" s="70"/>
      <x:c r="AA148" s="46" t="str">
        <x:f>YEAR('Monthly totals'!A120)&amp;"-"&amp;IF(MONTH('Monthly totals'!A120)&lt;10,"0","")&amp;MONTH('Monthly totals'!A120)</x:f>
        <x:v>1933-11</x:v>
      </x:c>
      <x:c r="AB148" s="44" t="n">
        <x:f>'Monthly totals'!B120</x:f>
        <x:v>562.8</x:v>
      </x:c>
      <x:c r="AC148" s="44" t="n">
        <x:f>'Monthly totals'!C120</x:f>
        <x:v>597.8</x:v>
      </x:c>
      <x:c r="AD148" s="44" t="n">
        <x:f>'Monthly totals'!D120</x:f>
        <x:v>-35</x:v>
      </x:c>
      <x:c r="AE148" s="44" t="n">
        <x:f>MAX(AD148,0)</x:f>
        <x:v>0</x:v>
      </x:c>
      <x:c r="AF148" s="44" t="n">
        <x:f>MIN(AD148,0)</x:f>
        <x:v>-35</x:v>
      </x:c>
      <x:c r="AI148" s="36" t="str">
        <x:f>AA141</x:f>
        <x:v>1933-04</x:v>
      </x:c>
      <x:c r="AJ148" s="68" t="n">
        <x:f>'Monthly totals'!I113</x:f>
        <x:v>24.10892836136925</x:v>
      </x:c>
      <x:c r="AK148" s="68" t="n">
        <x:f>'Monthly totals'!J113</x:f>
        <x:v>25.77405689330744</x:v>
      </x:c>
    </x:row>
    <x:row r="149" ht="18" customHeight="1">
      <x:c r="A149" s="70"/>
      <x:c r="B149" s="73" t="str">
        <x:v>Switzerland</x:v>
      </x:c>
      <x:c r="C149" s="73"/>
      <x:c r="D149" s="73"/>
      <x:c r="E149" s="73"/>
      <x:c r="F149" s="73"/>
      <x:c r="G149" s="78" t="n">
        <x:f>SUMIFS('Annual partners'!$G$2:$G$286,'Annual partners'!$A$2:$A$286,G$138,'Annual partners'!$B$2:$B$286,$B149)</x:f>
        <x:v>2.6137159869297473</x:v>
      </x:c>
      <x:c r="H149" s="78" t="n">
        <x:f>SUMIFS('Annual partners'!$G$2:$G$286,'Annual partners'!$A$2:$A$286,H$138,'Annual partners'!$B$2:$B$286,$B149)</x:f>
        <x:v>1.3341571331428865</x:v>
      </x:c>
      <x:c r="I149" s="78" t="n">
        <x:f>SUMIFS('Annual partners'!$G$2:$G$286,'Annual partners'!$A$2:$A$286,I$138,'Annual partners'!$B$2:$B$286,$B149)</x:f>
        <x:v>1.2539306831570176</x:v>
      </x:c>
      <x:c r="J149" s="78" t="n">
        <x:f>SUMIFS('Annual partners'!$G$2:$G$286,'Annual partners'!$A$2:$A$286,J$138,'Annual partners'!$B$2:$B$286,$B149)</x:f>
        <x:v>1.986897198493433</x:v>
      </x:c>
      <x:c r="K149" s="78" t="n">
        <x:f>SUMIFS('Annual partners'!$G$2:$G$286,'Annual partners'!$A$2:$A$286,K$138,'Annual partners'!$B$2:$B$286,$B149)</x:f>
        <x:v>2.329100709108206</x:v>
      </x:c>
      <x:c r="L149" s="78" t="n">
        <x:f>SUMIFS('Annual partners'!$G$2:$G$286,'Annual partners'!$A$2:$A$286,L$138,'Annual partners'!$B$2:$B$286,$B149)</x:f>
        <x:v>1.8793842313741809</x:v>
      </x:c>
      <x:c r="M149" s="78" t="n">
        <x:f>SUMIFS('Annual partners'!$G$2:$G$286,'Annual partners'!$A$2:$A$286,M$138,'Annual partners'!$B$2:$B$286,$B149)</x:f>
        <x:v>2.138744756629242</x:v>
      </x:c>
      <x:c r="N149" s="78" t="n">
        <x:f>SUMIFS('Annual partners'!$G$2:$G$286,'Annual partners'!$A$2:$A$286,N$138,'Annual partners'!$B$2:$B$286,$B149)</x:f>
        <x:v>2.412464524381748</x:v>
      </x:c>
      <x:c r="O149" s="78" t="n">
        <x:f>SUMIFS('Annual partners'!$G$2:$G$286,'Annual partners'!$A$2:$A$286,O$138,'Annual partners'!$B$2:$B$286,$B149)</x:f>
        <x:v>2.4910163280187327</x:v>
      </x:c>
      <x:c r="P149" s="78" t="n">
        <x:f>SUMIFS('Annual partners'!$G$2:$G$286,'Annual partners'!$A$2:$A$286,P$138,'Annual partners'!$B$2:$B$286,$B149)</x:f>
        <x:v>2.431653737590477</x:v>
      </x:c>
      <x:c r="Q149" s="78" t="n">
        <x:f>SUMIFS('Annual partners'!$G$2:$G$286,'Annual partners'!$A$2:$A$286,Q$138,'Annual partners'!$B$2:$B$286,$B149)</x:f>
        <x:v>2.661649560281989</x:v>
      </x:c>
      <x:c r="R149" s="78" t="n">
        <x:f>SUMIFS('Annual partners'!$G$2:$G$286,'Annual partners'!$A$2:$A$286,R$138,'Annual partners'!$B$2:$B$286,$B149)</x:f>
        <x:v>2.999863989217438</x:v>
      </x:c>
      <x:c r="S149" s="78" t="n">
        <x:f>SUMIFS('Annual partners'!$G$2:$G$286,'Annual partners'!$A$2:$A$286,S$138,'Annual partners'!$B$2:$B$286,$B149)</x:f>
        <x:v>2.6722517545539217</x:v>
      </x:c>
      <x:c r="T149" s="78" t="n">
        <x:f>SUMIFS('Annual partners'!$G$2:$G$286,'Annual partners'!$A$2:$A$286,T$138,'Annual partners'!$B$2:$B$286,$B149)</x:f>
        <x:v>2.922355464216982</x:v>
      </x:c>
      <x:c r="U149" s="78" t="n">
        <x:f>SUMIFS('Annual partners'!$G$2:$G$286,'Annual partners'!$A$2:$A$286,U$138,'Annual partners'!$B$2:$B$286,$B149)</x:f>
        <x:v>3.082186744218866</x:v>
      </x:c>
      <x:c r="V149" s="78" t="n">
        <x:f>SUMIFS('Annual partners'!$G$2:$G$286,'Annual partners'!$A$2:$A$286,V$138,'Annual partners'!$B$2:$B$286,$B149)</x:f>
        <x:v>2.980792131420604</x:v>
      </x:c>
      <x:c r="W149" s="78" t="n">
        <x:f>SUMIFS('Annual partners'!$G$2:$G$286,'Annual partners'!$A$2:$A$286,W$138,'Annual partners'!$B$2:$B$286,$B149)</x:f>
        <x:v>3.9796771155300266</x:v>
      </x:c>
      <x:c r="X149" s="78" t="n">
        <x:f>SUMIFS('Annual partners'!$G$2:$G$286,'Annual partners'!$A$2:$A$286,X$138,'Annual partners'!$B$2:$B$286,$B149)</x:f>
        <x:v>3.278232915898938</x:v>
      </x:c>
      <x:c r="Y149" s="78" t="n">
        <x:f>SUMIFS('Annual partners'!$G$2:$G$286,'Annual partners'!$A$2:$A$286,Y$138,'Annual partners'!$B$2:$B$286,$B149)</x:f>
        <x:v>3.2299006322858244</x:v>
      </x:c>
      <x:c r="Z149" s="70"/>
      <x:c r="AA149" s="46" t="str">
        <x:f>YEAR('Monthly totals'!A121)&amp;"-"&amp;IF(MONTH('Monthly totals'!A121)&lt;10,"0","")&amp;MONTH('Monthly totals'!A121)</x:f>
        <x:v>1933-12</x:v>
      </x:c>
      <x:c r="AB149" s="44" t="n">
        <x:f>'Monthly totals'!B121</x:f>
        <x:v>586.9</x:v>
      </x:c>
      <x:c r="AC149" s="44" t="n">
        <x:f>'Monthly totals'!C121</x:f>
        <x:v>582.5</x:v>
      </x:c>
      <x:c r="AD149" s="44" t="n">
        <x:f>'Monthly totals'!D121</x:f>
        <x:v>4.399999999999977</x:v>
      </x:c>
      <x:c r="AE149" s="44" t="n">
        <x:f>MAX(AD149,0)</x:f>
        <x:v>4.399999999999977</x:v>
      </x:c>
      <x:c r="AF149" s="44" t="n">
        <x:f>MIN(AD149,0)</x:f>
        <x:v>0</x:v>
      </x:c>
      <x:c r="AI149" s="36" t="str">
        <x:f>AA142</x:f>
        <x:v>1933-05</x:v>
      </x:c>
      <x:c r="AJ149" s="68" t="n">
        <x:f>'Monthly totals'!I114</x:f>
        <x:v>27.320315257028586</x:v>
      </x:c>
      <x:c r="AK149" s="68" t="n">
        <x:f>'Monthly totals'!J114</x:f>
        <x:v>28.569416073818413</x:v>
      </x:c>
    </x:row>
    <x:row r="150" ht="18" customHeight="1">
      <x:c r="A150" s="70"/>
      <x:c r="B150" s="73" t="str">
        <x:v>United Kingdom</x:v>
      </x:c>
      <x:c r="C150" s="73"/>
      <x:c r="D150" s="73"/>
      <x:c r="E150" s="73"/>
      <x:c r="F150" s="73"/>
      <x:c r="G150" s="78" t="n">
        <x:f>SUMIFS('Annual partners'!$G$2:$G$286,'Annual partners'!$A$2:$A$286,G$138,'Annual partners'!$B$2:$B$286,$B150)</x:f>
        <x:v>4.219583089299384</x:v>
      </x:c>
      <x:c r="H150" s="78" t="n">
        <x:f>SUMIFS('Annual partners'!$G$2:$G$286,'Annual partners'!$A$2:$A$286,H$138,'Annual partners'!$B$2:$B$286,$B150)</x:f>
        <x:v>5.665945799613144</x:v>
      </x:c>
      <x:c r="I150" s="78" t="n">
        <x:f>SUMIFS('Annual partners'!$G$2:$G$286,'Annual partners'!$A$2:$A$286,I$138,'Annual partners'!$B$2:$B$286,$B150)</x:f>
        <x:v>4.837649736203405</x:v>
      </x:c>
      <x:c r="J150" s="78" t="n">
        <x:f>SUMIFS('Annual partners'!$G$2:$G$286,'Annual partners'!$A$2:$A$286,J$138,'Annual partners'!$B$2:$B$286,$B150)</x:f>
        <x:v>3.114345841359474</x:v>
      </x:c>
      <x:c r="K150" s="78" t="n">
        <x:f>SUMIFS('Annual partners'!$G$2:$G$286,'Annual partners'!$A$2:$A$286,K$138,'Annual partners'!$B$2:$B$286,$B150)</x:f>
        <x:v>2.8259249006430456</x:v>
      </x:c>
      <x:c r="L150" s="78" t="n">
        <x:f>SUMIFS('Annual partners'!$G$2:$G$286,'Annual partners'!$A$2:$A$286,L$138,'Annual partners'!$B$2:$B$286,$B150)</x:f>
        <x:v>3.7100401967044028</x:v>
      </x:c>
      <x:c r="M150" s="78" t="n">
        <x:f>SUMIFS('Annual partners'!$G$2:$G$286,'Annual partners'!$A$2:$A$286,M$138,'Annual partners'!$B$2:$B$286,$B150)</x:f>
        <x:v>3.9605618265916704</x:v>
      </x:c>
      <x:c r="N150" s="78" t="n">
        <x:f>SUMIFS('Annual partners'!$G$2:$G$286,'Annual partners'!$A$2:$A$286,N$138,'Annual partners'!$B$2:$B$286,$B150)</x:f>
        <x:v>4.456265444030921</x:v>
      </x:c>
      <x:c r="O150" s="78" t="n">
        <x:f>SUMIFS('Annual partners'!$G$2:$G$286,'Annual partners'!$A$2:$A$286,O$138,'Annual partners'!$B$2:$B$286,$B150)</x:f>
        <x:v>4.32785921503248</x:v>
      </x:c>
      <x:c r="P150" s="78" t="n">
        <x:f>SUMIFS('Annual partners'!$G$2:$G$286,'Annual partners'!$A$2:$A$286,P$138,'Annual partners'!$B$2:$B$286,$B150)</x:f>
        <x:v>4.0949133920083005</x:v>
      </x:c>
      <x:c r="Q150" s="78" t="n">
        <x:f>SUMIFS('Annual partners'!$G$2:$G$286,'Annual partners'!$A$2:$A$286,Q$138,'Annual partners'!$B$2:$B$286,$B150)</x:f>
        <x:v>3.6863590277083533</x:v>
      </x:c>
      <x:c r="R150" s="78" t="n">
        <x:f>SUMIFS('Annual partners'!$G$2:$G$286,'Annual partners'!$A$2:$A$286,R$138,'Annual partners'!$B$2:$B$286,$B150)</x:f>
        <x:v>3.6777993540123393</x:v>
      </x:c>
      <x:c r="S150" s="78" t="n">
        <x:f>SUMIFS('Annual partners'!$G$2:$G$286,'Annual partners'!$A$2:$A$286,S$138,'Annual partners'!$B$2:$B$286,$B150)</x:f>
        <x:v>4.155474058687061</x:v>
      </x:c>
      <x:c r="T150" s="78" t="n">
        <x:f>SUMIFS('Annual partners'!$G$2:$G$286,'Annual partners'!$A$2:$A$286,T$138,'Annual partners'!$B$2:$B$286,$B150)</x:f>
        <x:v>4.571282290395279</x:v>
      </x:c>
      <x:c r="U150" s="78" t="n">
        <x:f>SUMIFS('Annual partners'!$G$2:$G$286,'Annual partners'!$A$2:$A$286,U$138,'Annual partners'!$B$2:$B$286,$B150)</x:f>
        <x:v>5.178699555007333</x:v>
      </x:c>
      <x:c r="V150" s="78" t="n">
        <x:f>SUMIFS('Annual partners'!$G$2:$G$286,'Annual partners'!$A$2:$A$286,V$138,'Annual partners'!$B$2:$B$286,$B150)</x:f>
        <x:v>5.442540856872446</x:v>
      </x:c>
      <x:c r="W150" s="78" t="n">
        <x:f>SUMIFS('Annual partners'!$G$2:$G$286,'Annual partners'!$A$2:$A$286,W$138,'Annual partners'!$B$2:$B$286,$B150)</x:f>
        <x:v>6.001100412307183</x:v>
      </x:c>
      <x:c r="X150" s="78" t="n">
        <x:f>SUMIFS('Annual partners'!$G$2:$G$286,'Annual partners'!$A$2:$A$286,X$138,'Annual partners'!$B$2:$B$286,$B150)</x:f>
        <x:v>6.328810768193783</x:v>
      </x:c>
      <x:c r="Y150" s="78" t="n">
        <x:f>SUMIFS('Annual partners'!$G$2:$G$286,'Annual partners'!$A$2:$A$286,Y$138,'Annual partners'!$B$2:$B$286,$B150)</x:f>
        <x:v>5.351385180429281</x:v>
      </x:c>
      <x:c r="Z150" s="70"/>
      <x:c r="AA150" s="46" t="str">
        <x:f>YEAR('Monthly totals'!A122)&amp;"-"&amp;IF(MONTH('Monthly totals'!A122)&lt;10,"0","")&amp;MONTH('Monthly totals'!A122)</x:f>
        <x:v>1934-01</x:v>
      </x:c>
      <x:c r="AB150" s="44" t="n">
        <x:f>'Monthly totals'!B122</x:f>
        <x:v>395.3</x:v>
      </x:c>
      <x:c r="AC150" s="44" t="n">
        <x:f>'Monthly totals'!C122</x:f>
        <x:v>372.7</x:v>
      </x:c>
      <x:c r="AD150" s="44" t="n">
        <x:f>'Monthly totals'!D122</x:f>
        <x:v>22.600000000000023</x:v>
      </x:c>
      <x:c r="AE150" s="44" t="n">
        <x:f>MAX(AD150,0)</x:f>
        <x:v>22.600000000000023</x:v>
      </x:c>
      <x:c r="AF150" s="44" t="n">
        <x:f>MIN(AD150,0)</x:f>
        <x:v>0</x:v>
      </x:c>
      <x:c r="AI150" s="36" t="str">
        <x:f>AA143</x:f>
        <x:v>1933-06</x:v>
      </x:c>
      <x:c r="AJ150" s="68" t="n">
        <x:f>'Monthly totals'!I115</x:f>
        <x:v>26.720385836960357</x:v>
      </x:c>
      <x:c r="AK150" s="68" t="n">
        <x:f>'Monthly totals'!J115</x:f>
        <x:v>30.115014238420592</x:v>
      </x:c>
    </x:row>
    <x:row r="151" ht="18" customHeight="1">
      <x:c r="A151" s="70"/>
      <x:c r="B151" s="73" t="str">
        <x:v>United States</x:v>
      </x:c>
      <x:c r="C151" s="73"/>
      <x:c r="D151" s="73"/>
      <x:c r="E151" s="73"/>
      <x:c r="F151" s="73"/>
      <x:c r="G151" s="78" t="n">
        <x:f>SUMIFS('Annual partners'!$G$2:$G$286,'Annual partners'!$A$2:$A$286,G$138,'Annual partners'!$B$2:$B$286,$B151)</x:f>
        <x:v>17.191978275629108</x:v>
      </x:c>
      <x:c r="H151" s="78" t="n">
        <x:f>SUMIFS('Annual partners'!$G$2:$G$286,'Annual partners'!$A$2:$A$286,H$138,'Annual partners'!$B$2:$B$286,$B151)</x:f>
        <x:v>19.197507862027546</x:v>
      </x:c>
      <x:c r="I151" s="78" t="n">
        <x:f>SUMIFS('Annual partners'!$G$2:$G$286,'Annual partners'!$A$2:$A$286,I$138,'Annual partners'!$B$2:$B$286,$B151)</x:f>
        <x:v>16.96145290944936</x:v>
      </x:c>
      <x:c r="J151" s="78" t="n">
        <x:f>SUMIFS('Annual partners'!$G$2:$G$286,'Annual partners'!$A$2:$A$286,J$138,'Annual partners'!$B$2:$B$286,$B151)</x:f>
        <x:v>6.598346975461912</x:v>
      </x:c>
      <x:c r="K151" s="78" t="n">
        <x:f>SUMIFS('Annual partners'!$G$2:$G$286,'Annual partners'!$A$2:$A$286,K$138,'Annual partners'!$B$2:$B$286,$B151)</x:f>
        <x:v>5.6098937961814865</x:v>
      </x:c>
      <x:c r="L151" s="78" t="n">
        <x:f>SUMIFS('Annual partners'!$G$2:$G$286,'Annual partners'!$A$2:$A$286,L$138,'Annual partners'!$B$2:$B$286,$B151)</x:f>
        <x:v>6.345532730495341</x:v>
      </x:c>
      <x:c r="M151" s="78" t="n">
        <x:f>SUMIFS('Annual partners'!$G$2:$G$286,'Annual partners'!$A$2:$A$286,M$138,'Annual partners'!$B$2:$B$286,$B151)</x:f>
        <x:v>5.010496069464348</x:v>
      </x:c>
      <x:c r="N151" s="78" t="n">
        <x:f>SUMIFS('Annual partners'!$G$2:$G$286,'Annual partners'!$A$2:$A$286,N$138,'Annual partners'!$B$2:$B$286,$B151)</x:f>
        <x:v>6.858948006506313</x:v>
      </x:c>
      <x:c r="O151" s="78" t="n">
        <x:f>SUMIFS('Annual partners'!$G$2:$G$286,'Annual partners'!$A$2:$A$286,O$138,'Annual partners'!$B$2:$B$286,$B151)</x:f>
        <x:v>5.982230335086553</x:v>
      </x:c>
      <x:c r="P151" s="78" t="n">
        <x:f>SUMIFS('Annual partners'!$G$2:$G$286,'Annual partners'!$A$2:$A$286,P$138,'Annual partners'!$B$2:$B$286,$B151)</x:f>
        <x:v>5.455901129269484</x:v>
      </x:c>
      <x:c r="Q151" s="78" t="n">
        <x:f>SUMIFS('Annual partners'!$G$2:$G$286,'Annual partners'!$A$2:$A$286,Q$138,'Annual partners'!$B$2:$B$286,$B151)</x:f>
        <x:v>5.001131757078159</x:v>
      </x:c>
      <x:c r="R151" s="78" t="n">
        <x:f>SUMIFS('Annual partners'!$G$2:$G$286,'Annual partners'!$A$2:$A$286,R$138,'Annual partners'!$B$2:$B$286,$B151)</x:f>
        <x:v>4.101508957009153</x:v>
      </x:c>
      <x:c r="S151" s="78" t="n">
        <x:f>SUMIFS('Annual partners'!$G$2:$G$286,'Annual partners'!$A$2:$A$286,S$138,'Annual partners'!$B$2:$B$286,$B151)</x:f>
        <x:v>11.363198974639841</x:v>
      </x:c>
      <x:c r="T151" s="78" t="n">
        <x:f>SUMIFS('Annual partners'!$G$2:$G$286,'Annual partners'!$A$2:$A$286,T$138,'Annual partners'!$B$2:$B$286,$B151)</x:f>
        <x:v>7.575267795512176</x:v>
      </x:c>
      <x:c r="U151" s="78" t="n">
        <x:f>SUMIFS('Annual partners'!$G$2:$G$286,'Annual partners'!$A$2:$A$286,U$138,'Annual partners'!$B$2:$B$286,$B151)</x:f>
        <x:v>5.554194386790343</x:v>
      </x:c>
      <x:c r="V151" s="78" t="n">
        <x:f>SUMIFS('Annual partners'!$G$2:$G$286,'Annual partners'!$A$2:$A$286,V$138,'Annual partners'!$B$2:$B$286,$B151)</x:f>
        <x:v>5.931924639642993</x:v>
      </x:c>
      <x:c r="W151" s="78" t="n">
        <x:f>SUMIFS('Annual partners'!$G$2:$G$286,'Annual partners'!$A$2:$A$286,W$138,'Annual partners'!$B$2:$B$286,$B151)</x:f>
        <x:v>6.1021715771460405</x:v>
      </x:c>
      <x:c r="X151" s="78" t="n">
        <x:f>SUMIFS('Annual partners'!$G$2:$G$286,'Annual partners'!$A$2:$A$286,X$138,'Annual partners'!$B$2:$B$286,$B151)</x:f>
        <x:v>8.751060644941331</x:v>
      </x:c>
      <x:c r="Y151" s="78" t="n">
        <x:f>SUMIFS('Annual partners'!$G$2:$G$286,'Annual partners'!$A$2:$A$286,Y$138,'Annual partners'!$B$2:$B$286,$B151)</x:f>
        <x:v>10.154521545046208</x:v>
      </x:c>
      <x:c r="Z151" s="70"/>
      <x:c r="AA151" s="46" t="str">
        <x:f>YEAR('Monthly totals'!A123)&amp;"-"&amp;IF(MONTH('Monthly totals'!A123)&lt;10,"0","")&amp;MONTH('Monthly totals'!A123)</x:f>
        <x:v>1934-02</x:v>
      </x:c>
      <x:c r="AB151" s="44" t="n">
        <x:f>'Monthly totals'!B123</x:f>
        <x:v>447</x:v>
      </x:c>
      <x:c r="AC151" s="44" t="n">
        <x:f>'Monthly totals'!C123</x:f>
        <x:v>503.6</x:v>
      </x:c>
      <x:c r="AD151" s="44" t="n">
        <x:f>'Monthly totals'!D123</x:f>
        <x:v>-56.60000000000002</x:v>
      </x:c>
      <x:c r="AE151" s="44" t="n">
        <x:f>MAX(AD151,0)</x:f>
        <x:v>0</x:v>
      </x:c>
      <x:c r="AF151" s="44" t="n">
        <x:f>MIN(AD151,0)</x:f>
        <x:v>-56.60000000000002</x:v>
      </x:c>
      <x:c r="AI151" s="36" t="str">
        <x:f>AA144</x:f>
        <x:v>1933-07</x:v>
      </x:c>
      <x:c r="AJ151" s="68" t="n">
        <x:f>'Monthly totals'!I116</x:f>
        <x:v>29.20244677096812</x:v>
      </x:c>
      <x:c r="AK151" s="68" t="n">
        <x:f>'Monthly totals'!J116</x:f>
        <x:v>34.975195966954786</x:v>
      </x:c>
    </x:row>
    <x:row r="152" ht="18" customHeight="1">
      <x:c r="A152" s="70"/>
      <x:c r="B152" s="73" t="str">
        <x:v>USSR</x:v>
      </x:c>
      <x:c r="C152" s="73"/>
      <x:c r="D152" s="73"/>
      <x:c r="E152" s="73"/>
      <x:c r="F152" s="73"/>
      <x:c r="G152" s="78" t="n">
        <x:f>SUMIFS('Annual partners'!$G$2:$G$286,'Annual partners'!$A$2:$A$286,G$138,'Annual partners'!$B$2:$B$286,$B152)</x:f>
        <x:v>0.5812904354931758</x:v>
      </x:c>
      <x:c r="H152" s="78" t="n">
        <x:f>SUMIFS('Annual partners'!$G$2:$G$286,'Annual partners'!$A$2:$A$286,H$138,'Annual partners'!$B$2:$B$286,$B152)</x:f>
        <x:v>0.3039851695768602</x:v>
      </x:c>
      <x:c r="I152" s="78" t="n">
        <x:f>SUMIFS('Annual partners'!$G$2:$G$286,'Annual partners'!$A$2:$A$286,I$138,'Annual partners'!$B$2:$B$286,$B152)</x:f>
        <x:v>0.15581387187158205</x:v>
      </x:c>
      <x:c r="J152" s="78" t="n">
        <x:f>SUMIFS('Annual partners'!$G$2:$G$286,'Annual partners'!$A$2:$A$286,J$138,'Annual partners'!$B$2:$B$286,$B152)</x:f>
        <x:v>0.05544829391144464</x:v>
      </x:c>
      <x:c r="K152" s="78" t="n">
        <x:f>SUMIFS('Annual partners'!$G$2:$G$286,'Annual partners'!$A$2:$A$286,K$138,'Annual partners'!$B$2:$B$286,$B152)</x:f>
        <x:v>0.5071996618290485</x:v>
      </x:c>
      <x:c r="L152" s="78" t="n">
        <x:f>SUMIFS('Annual partners'!$G$2:$G$286,'Annual partners'!$A$2:$A$286,L$138,'Annual partners'!$B$2:$B$286,$B152)</x:f>
        <x:v>0.18173912061287384</x:v>
      </x:c>
      <x:c r="M152" s="78" t="n">
        <x:f>SUMIFS('Annual partners'!$G$2:$G$286,'Annual partners'!$A$2:$A$286,M$138,'Annual partners'!$B$2:$B$286,$B152)</x:f>
        <x:v>0.522149099106736</x:v>
      </x:c>
      <x:c r="N152" s="78" t="n">
        <x:f>SUMIFS('Annual partners'!$G$2:$G$286,'Annual partners'!$A$2:$A$286,N$138,'Annual partners'!$B$2:$B$286,$B152)</x:f>
        <x:v>0.8547274546099151</x:v>
      </x:c>
      <x:c r="O152" s="78" t="n">
        <x:f>SUMIFS('Annual partners'!$G$2:$G$286,'Annual partners'!$A$2:$A$286,O$138,'Annual partners'!$B$2:$B$286,$B152)</x:f>
        <x:v>0.992351950132193</x:v>
      </x:c>
      <x:c r="P152" s="78" t="n">
        <x:f>SUMIFS('Annual partners'!$G$2:$G$286,'Annual partners'!$A$2:$A$286,P$138,'Annual partners'!$B$2:$B$286,$B152)</x:f>
        <x:v>1.2859796878001637</x:v>
      </x:c>
      <x:c r="Q152" s="78" t="n">
        <x:f>SUMIFS('Annual partners'!$G$2:$G$286,'Annual partners'!$A$2:$A$286,Q$138,'Annual partners'!$B$2:$B$286,$B152)</x:f>
        <x:v>1.919157099655013</x:v>
      </x:c>
      <x:c r="R152" s="78" t="n">
        <x:f>SUMIFS('Annual partners'!$G$2:$G$286,'Annual partners'!$A$2:$A$286,R$138,'Annual partners'!$B$2:$B$286,$B152)</x:f>
        <x:v>2.355825392662282</x:v>
      </x:c>
      <x:c r="S152" s="78" t="n">
        <x:f>SUMIFS('Annual partners'!$G$2:$G$286,'Annual partners'!$A$2:$A$286,S$138,'Annual partners'!$B$2:$B$286,$B152)</x:f>
        <x:v>2.0103178337011154</x:v>
      </x:c>
      <x:c r="T152" s="78" t="n">
        <x:f>SUMIFS('Annual partners'!$G$2:$G$286,'Annual partners'!$A$2:$A$286,T$138,'Annual partners'!$B$2:$B$286,$B152)</x:f>
        <x:v>1.8448389243380947</x:v>
      </x:c>
      <x:c r="U152" s="78" t="n">
        <x:f>SUMIFS('Annual partners'!$G$2:$G$286,'Annual partners'!$A$2:$A$286,U$138,'Annual partners'!$B$2:$B$286,$B152)</x:f>
        <x:v>1.5019793271320363</x:v>
      </x:c>
      <x:c r="V152" s="78" t="n">
        <x:f>SUMIFS('Annual partners'!$G$2:$G$286,'Annual partners'!$A$2:$A$286,V$138,'Annual partners'!$B$2:$B$286,$B152)</x:f>
        <x:v>1.0825762467348463</x:v>
      </x:c>
      <x:c r="W152" s="78" t="n">
        <x:f>SUMIFS('Annual partners'!$G$2:$G$286,'Annual partners'!$A$2:$A$286,W$138,'Annual partners'!$B$2:$B$286,$B152)</x:f>
        <x:v>1.1496845000420077</x:v>
      </x:c>
      <x:c r="X152" s="78" t="n">
        <x:f>SUMIFS('Annual partners'!$G$2:$G$286,'Annual partners'!$A$2:$A$286,X$138,'Annual partners'!$B$2:$B$286,$B152)</x:f>
        <x:v>1.1382753180204646</x:v>
      </x:c>
      <x:c r="Y152" s="78" t="n">
        <x:f>SUMIFS('Annual partners'!$G$2:$G$286,'Annual partners'!$A$2:$A$286,Y$138,'Annual partners'!$B$2:$B$286,$B152)</x:f>
        <x:v>1.2037637042836467</x:v>
      </x:c>
      <x:c r="Z152" s="70"/>
      <x:c r="AA152" s="46" t="str">
        <x:f>YEAR('Monthly totals'!A124)&amp;"-"&amp;IF(MONTH('Monthly totals'!A124)&lt;10,"0","")&amp;MONTH('Monthly totals'!A124)</x:f>
        <x:v>1934-03</x:v>
      </x:c>
      <x:c r="AB152" s="44" t="n">
        <x:f>'Monthly totals'!B124</x:f>
        <x:v>630.9</x:v>
      </x:c>
      <x:c r="AC152" s="44" t="n">
        <x:f>'Monthly totals'!C124</x:f>
        <x:v>567.7</x:v>
      </x:c>
      <x:c r="AD152" s="44" t="n">
        <x:f>'Monthly totals'!D124</x:f>
        <x:v>63.19999999999993</x:v>
      </x:c>
      <x:c r="AE152" s="44" t="n">
        <x:f>MAX(AD152,0)</x:f>
        <x:v>63.19999999999993</x:v>
      </x:c>
      <x:c r="AF152" s="44" t="n">
        <x:f>MIN(AD152,0)</x:f>
        <x:v>0</x:v>
      </x:c>
      <x:c r="AI152" s="36" t="str">
        <x:f>AA145</x:f>
        <x:v>1933-08</x:v>
      </x:c>
      <x:c r="AJ152" s="68" t="n">
        <x:f>'Monthly totals'!I117</x:f>
        <x:v>26.06752146806258</x:v>
      </x:c>
      <x:c r="AK152" s="68" t="n">
        <x:f>'Monthly totals'!J117</x:f>
        <x:v>25.50840720876644</x:v>
      </x:c>
    </x:row>
    <x:row r="153" ht="18" customHeight="1">
      <x:c r="A153" s="70"/>
      <x:c r="B153" s="73" t="str">
        <x:v>Yugoslavia</x:v>
      </x:c>
      <x:c r="C153" s="73"/>
      <x:c r="D153" s="73"/>
      <x:c r="E153" s="73"/>
      <x:c r="F153" s="73"/>
      <x:c r="G153" s="78" t="n">
        <x:f>SUMIFS('Annual partners'!$G$2:$G$286,'Annual partners'!$A$2:$A$286,G$138,'Annual partners'!$B$2:$B$286,$B153)</x:f>
        <x:v>1.4218614968897827</x:v>
      </x:c>
      <x:c r="H153" s="78" t="n">
        <x:f>SUMIFS('Annual partners'!$G$2:$G$286,'Annual partners'!$A$2:$A$286,H$138,'Annual partners'!$B$2:$B$286,$B153)</x:f>
        <x:v>1.5494799615931625</x:v>
      </x:c>
      <x:c r="I153" s="78" t="n">
        <x:f>SUMIFS('Annual partners'!$G$2:$G$286,'Annual partners'!$A$2:$A$286,I$138,'Annual partners'!$B$2:$B$286,$B153)</x:f>
        <x:v>1.9884817934087615</x:v>
      </x:c>
      <x:c r="J153" s="78" t="n">
        <x:f>SUMIFS('Annual partners'!$G$2:$G$286,'Annual partners'!$A$2:$A$286,J$138,'Annual partners'!$B$2:$B$286,$B153)</x:f>
        <x:v>2.569104284563602</x:v>
      </x:c>
      <x:c r="K153" s="78" t="n">
        <x:f>SUMIFS('Annual partners'!$G$2:$G$286,'Annual partners'!$A$2:$A$286,K$138,'Annual partners'!$B$2:$B$286,$B153)</x:f>
        <x:v>2.6350856272741283</x:v>
      </x:c>
      <x:c r="L153" s="78" t="n">
        <x:f>SUMIFS('Annual partners'!$G$2:$G$286,'Annual partners'!$A$2:$A$286,L$138,'Annual partners'!$B$2:$B$286,$B153)</x:f>
        <x:v>2.8483927703713525</x:v>
      </x:c>
      <x:c r="M153" s="78" t="n">
        <x:f>SUMIFS('Annual partners'!$G$2:$G$286,'Annual partners'!$A$2:$A$286,M$138,'Annual partners'!$B$2:$B$286,$B153)</x:f>
        <x:v>3.81865263708304</x:v>
      </x:c>
      <x:c r="N153" s="78" t="n">
        <x:f>SUMIFS('Annual partners'!$G$2:$G$286,'Annual partners'!$A$2:$A$286,N$138,'Annual partners'!$B$2:$B$286,$B153)</x:f>
        <x:v>3.2597427672496573</x:v>
      </x:c>
      <x:c r="O153" s="78" t="n">
        <x:f>SUMIFS('Annual partners'!$G$2:$G$286,'Annual partners'!$A$2:$A$286,O$138,'Annual partners'!$B$2:$B$286,$B153)</x:f>
        <x:v>2.3405157762406446</x:v>
      </x:c>
      <x:c r="P153" s="78" t="n">
        <x:f>SUMIFS('Annual partners'!$G$2:$G$286,'Annual partners'!$A$2:$A$286,P$138,'Annual partners'!$B$2:$B$286,$B153)</x:f>
        <x:v>1.7039954888946498</x:v>
      </x:c>
      <x:c r="Q153" s="78" t="n">
        <x:f>SUMIFS('Annual partners'!$G$2:$G$286,'Annual partners'!$A$2:$A$286,Q$138,'Annual partners'!$B$2:$B$286,$B153)</x:f>
        <x:v>2.792802292251941</x:v>
      </x:c>
      <x:c r="R153" s="78" t="n">
        <x:f>SUMIFS('Annual partners'!$G$2:$G$286,'Annual partners'!$A$2:$A$286,R$138,'Annual partners'!$B$2:$B$286,$B153)</x:f>
        <x:v>3.2625639430754623</x:v>
      </x:c>
      <x:c r="S153" s="78" t="n">
        <x:f>SUMIFS('Annual partners'!$G$2:$G$286,'Annual partners'!$A$2:$A$286,S$138,'Annual partners'!$B$2:$B$286,$B153)</x:f>
        <x:v>4.7683758372544744</x:v>
      </x:c>
      <x:c r="T153" s="78" t="n">
        <x:f>SUMIFS('Annual partners'!$G$2:$G$286,'Annual partners'!$A$2:$A$286,T$138,'Annual partners'!$B$2:$B$286,$B153)</x:f>
        <x:v>3.771307889576105</x:v>
      </x:c>
      <x:c r="U153" s="78" t="n">
        <x:f>SUMIFS('Annual partners'!$G$2:$G$286,'Annual partners'!$A$2:$A$286,U$138,'Annual partners'!$B$2:$B$286,$B153)</x:f>
        <x:v>3.1291235981917422</x:v>
      </x:c>
      <x:c r="V153" s="78" t="n">
        <x:f>SUMIFS('Annual partners'!$G$2:$G$286,'Annual partners'!$A$2:$A$286,V$138,'Annual partners'!$B$2:$B$286,$B153)</x:f>
        <x:v>5.383221610476016</x:v>
      </x:c>
      <x:c r="W153" s="78" t="n">
        <x:f>SUMIFS('Annual partners'!$G$2:$G$286,'Annual partners'!$A$2:$A$286,W$138,'Annual partners'!$B$2:$B$286,$B153)</x:f>
        <x:v>4.396595670490315</x:v>
      </x:c>
      <x:c r="X153" s="78" t="n">
        <x:f>SUMIFS('Annual partners'!$G$2:$G$286,'Annual partners'!$A$2:$A$286,X$138,'Annual partners'!$B$2:$B$286,$B153)</x:f>
        <x:v>3.7426492456512874</x:v>
      </x:c>
      <x:c r="Y153" s="78" t="n">
        <x:f>SUMIFS('Annual partners'!$G$2:$G$286,'Annual partners'!$A$2:$A$286,Y$138,'Annual partners'!$B$2:$B$286,$B153)</x:f>
        <x:v>3.6947202804745594</x:v>
      </x:c>
      <x:c r="Z153" s="70"/>
      <x:c r="AA153" s="46" t="str">
        <x:f>YEAR('Monthly totals'!A125)&amp;"-"&amp;IF(MONTH('Monthly totals'!A125)&lt;10,"0","")&amp;MONTH('Monthly totals'!A125)</x:f>
        <x:v>1934-04</x:v>
      </x:c>
      <x:c r="AB153" s="44" t="n">
        <x:f>'Monthly totals'!B125</x:f>
        <x:v>550.8</x:v>
      </x:c>
      <x:c r="AC153" s="44" t="n">
        <x:f>'Monthly totals'!C125</x:f>
        <x:v>574.9</x:v>
      </x:c>
      <x:c r="AD153" s="44" t="n">
        <x:f>'Monthly totals'!D125</x:f>
        <x:v>-24.100000000000023</x:v>
      </x:c>
      <x:c r="AE153" s="44" t="n">
        <x:f>MAX(AD153,0)</x:f>
        <x:v>0</x:v>
      </x:c>
      <x:c r="AF153" s="44" t="n">
        <x:f>MIN(AD153,0)</x:f>
        <x:v>-24.100000000000023</x:v>
      </x:c>
      <x:c r="AI153" s="36" t="str">
        <x:f>AA146</x:f>
        <x:v>1933-09</x:v>
      </x:c>
      <x:c r="AJ153" s="68" t="n">
        <x:f>'Monthly totals'!I118</x:f>
        <x:v>32.21385719327138</x:v>
      </x:c>
      <x:c r="AK153" s="68" t="n">
        <x:f>'Monthly totals'!J118</x:f>
        <x:v>29.499189969711914</x:v>
      </x:c>
    </x:row>
    <x:row r="154" ht="18" customHeight="1">
      <x:c r="A154" s="70"/>
      <x:c r="B154" s="70"/>
      <x:c r="C154" s="70"/>
      <x:c r="D154" s="70"/>
      <x:c r="E154" s="70"/>
      <x:c r="F154" s="70"/>
      <x:c r="G154" s="70"/>
      <x:c r="H154" s="70"/>
      <x:c r="I154" s="70"/>
      <x:c r="J154" s="70"/>
      <x:c r="K154" s="70"/>
      <x:c r="L154" s="70"/>
      <x:c r="M154" s="70"/>
      <x:c r="N154" s="70"/>
      <x:c r="O154" s="70"/>
      <x:c r="P154" s="70"/>
      <x:c r="Q154" s="70"/>
      <x:c r="R154" s="70"/>
      <x:c r="S154" s="70"/>
      <x:c r="T154" s="70"/>
      <x:c r="U154" s="70"/>
      <x:c r="V154" s="70"/>
      <x:c r="W154" s="70"/>
      <x:c r="X154" s="70"/>
      <x:c r="Y154" s="70"/>
      <x:c r="Z154" s="70"/>
      <x:c r="AA154" s="46" t="str">
        <x:f>YEAR('Monthly totals'!A126)&amp;"-"&amp;IF(MONTH('Monthly totals'!A126)&lt;10,"0","")&amp;MONTH('Monthly totals'!A126)</x:f>
        <x:v>1934-05</x:v>
      </x:c>
      <x:c r="AB154" s="44" t="n">
        <x:f>'Monthly totals'!B126</x:f>
        <x:v>538.6</x:v>
      </x:c>
      <x:c r="AC154" s="44" t="n">
        <x:f>'Monthly totals'!C126</x:f>
        <x:v>520.2</x:v>
      </x:c>
      <x:c r="AD154" s="44" t="n">
        <x:f>'Monthly totals'!D126</x:f>
        <x:v>18.399999999999977</x:v>
      </x:c>
      <x:c r="AE154" s="44" t="n">
        <x:f>MAX(AD154,0)</x:f>
        <x:v>18.399999999999977</x:v>
      </x:c>
      <x:c r="AF154" s="44" t="n">
        <x:f>MIN(AD154,0)</x:f>
        <x:v>0</x:v>
      </x:c>
      <x:c r="AI154" s="36" t="str">
        <x:f>AA147</x:f>
        <x:v>1933-10</x:v>
      </x:c>
      <x:c r="AJ154" s="68" t="n">
        <x:f>'Monthly totals'!I119</x:f>
        <x:v>33.79014233619574</x:v>
      </x:c>
      <x:c r="AK154" s="68" t="n">
        <x:f>'Monthly totals'!J119</x:f>
        <x:v>31.998712001529498</x:v>
      </x:c>
    </x:row>
    <x:row r="155" ht="18" customHeight="1">
      <x:c r="A155" s="70"/>
      <x:c r="B155" s="72" t="str">
        <x:v>15 selected partners. Shares are not rescaled to sum to 100%.</x:v>
      </x:c>
      <x:c r="C155" s="70"/>
      <x:c r="D155" s="70"/>
      <x:c r="E155" s="70"/>
      <x:c r="F155" s="70"/>
      <x:c r="G155" s="70"/>
      <x:c r="H155" s="70"/>
      <x:c r="I155" s="70"/>
      <x:c r="J155" s="70"/>
      <x:c r="K155" s="70"/>
      <x:c r="L155" s="70"/>
      <x:c r="M155" s="70"/>
      <x:c r="N155" s="70"/>
      <x:c r="O155" s="70"/>
      <x:c r="P155" s="70"/>
      <x:c r="Q155" s="70"/>
      <x:c r="R155" s="70"/>
      <x:c r="S155" s="70"/>
      <x:c r="T155" s="70"/>
      <x:c r="U155" s="70"/>
      <x:c r="V155" s="70"/>
      <x:c r="W155" s="70"/>
      <x:c r="X155" s="70"/>
      <x:c r="Y155" s="70"/>
      <x:c r="Z155" s="70"/>
      <x:c r="AA155" s="46" t="str">
        <x:f>YEAR('Monthly totals'!A127)&amp;"-"&amp;IF(MONTH('Monthly totals'!A127)&lt;10,"0","")&amp;MONTH('Monthly totals'!A127)</x:f>
        <x:v>1934-06</x:v>
      </x:c>
      <x:c r="AB155" s="44" t="n">
        <x:f>'Monthly totals'!B127</x:f>
        <x:v>578</x:v>
      </x:c>
      <x:c r="AC155" s="44" t="n">
        <x:f>'Monthly totals'!C127</x:f>
        <x:v>490.8</x:v>
      </x:c>
      <x:c r="AD155" s="44" t="n">
        <x:f>'Monthly totals'!D127</x:f>
        <x:v>87.19999999999999</x:v>
      </x:c>
      <x:c r="AE155" s="44" t="n">
        <x:f>MAX(AD155,0)</x:f>
        <x:v>87.19999999999999</x:v>
      </x:c>
      <x:c r="AF155" s="44" t="n">
        <x:f>MIN(AD155,0)</x:f>
        <x:v>0</x:v>
      </x:c>
      <x:c r="AI155" s="36" t="str">
        <x:f>AA148</x:f>
        <x:v>1933-11</x:v>
      </x:c>
      <x:c r="AJ155" s="68" t="n">
        <x:f>'Monthly totals'!I120</x:f>
        <x:v>33.10198800141159</x:v>
      </x:c>
      <x:c r="AK155" s="68" t="n">
        <x:f>'Monthly totals'!J120</x:f>
        <x:v>36.09213214059308</x:v>
      </x:c>
    </x:row>
    <x:row r="156" ht="18" customHeight="1">
      <x:c r="A156" s="70"/>
      <x:c r="B156" s="70"/>
      <x:c r="C156" s="70"/>
      <x:c r="D156" s="70"/>
      <x:c r="E156" s="70"/>
      <x:c r="F156" s="70"/>
      <x:c r="G156" s="70"/>
      <x:c r="H156" s="70"/>
      <x:c r="I156" s="70"/>
      <x:c r="J156" s="70"/>
      <x:c r="K156" s="70"/>
      <x:c r="L156" s="70"/>
      <x:c r="M156" s="70"/>
      <x:c r="N156" s="70"/>
      <x:c r="O156" s="70"/>
      <x:c r="P156" s="70"/>
      <x:c r="Q156" s="70"/>
      <x:c r="R156" s="70"/>
      <x:c r="S156" s="70"/>
      <x:c r="T156" s="70"/>
      <x:c r="U156" s="70"/>
      <x:c r="V156" s="70"/>
      <x:c r="W156" s="70"/>
      <x:c r="X156" s="70"/>
      <x:c r="Y156" s="70"/>
      <x:c r="Z156" s="70"/>
      <x:c r="AA156" s="46" t="str">
        <x:f>YEAR('Monthly totals'!A128)&amp;"-"&amp;IF(MONTH('Monthly totals'!A128)&lt;10,"0","")&amp;MONTH('Monthly totals'!A128)</x:f>
        <x:v>1934-07</x:v>
      </x:c>
      <x:c r="AB156" s="44" t="n">
        <x:f>'Monthly totals'!B128</x:f>
        <x:v>615.5</x:v>
      </x:c>
      <x:c r="AC156" s="44" t="n">
        <x:f>'Monthly totals'!C128</x:f>
        <x:v>565.6</x:v>
      </x:c>
      <x:c r="AD156" s="44" t="n">
        <x:f>'Monthly totals'!D128</x:f>
        <x:v>49.89999999999998</x:v>
      </x:c>
      <x:c r="AE156" s="44" t="n">
        <x:f>MAX(AD156,0)</x:f>
        <x:v>49.89999999999998</x:v>
      </x:c>
      <x:c r="AF156" s="44" t="n">
        <x:f>MIN(AD156,0)</x:f>
        <x:v>0</x:v>
      </x:c>
      <x:c r="AI156" s="36" t="str">
        <x:f>AA149</x:f>
        <x:v>1933-12</x:v>
      </x:c>
      <x:c r="AJ156" s="68" t="n">
        <x:f>'Monthly totals'!I121</x:f>
        <x:v>34.51946829784731</x:v>
      </x:c>
      <x:c r="AK156" s="68" t="n">
        <x:f>'Monthly totals'!J121</x:f>
        <x:v>35.16839573753006</x:v>
      </x:c>
    </x:row>
    <x:row r="157" ht="18" customHeight="1">
      <x:c r="A157" s="70"/>
      <x:c r="B157" s="70"/>
      <x:c r="C157" s="70"/>
      <x:c r="D157" s="70"/>
      <x:c r="E157" s="70"/>
      <x:c r="F157" s="70"/>
      <x:c r="G157" s="70"/>
      <x:c r="H157" s="70"/>
      <x:c r="I157" s="70"/>
      <x:c r="J157" s="70"/>
      <x:c r="K157" s="70"/>
      <x:c r="L157" s="70"/>
      <x:c r="M157" s="70"/>
      <x:c r="N157" s="70"/>
      <x:c r="O157" s="70"/>
      <x:c r="P157" s="70"/>
      <x:c r="Q157" s="70"/>
      <x:c r="R157" s="70"/>
      <x:c r="S157" s="70"/>
      <x:c r="T157" s="70"/>
      <x:c r="U157" s="70"/>
      <x:c r="V157" s="70"/>
      <x:c r="W157" s="70"/>
      <x:c r="X157" s="70"/>
      <x:c r="Y157" s="70"/>
      <x:c r="Z157" s="70"/>
      <x:c r="AA157" s="46" t="str">
        <x:f>YEAR('Monthly totals'!A129)&amp;"-"&amp;IF(MONTH('Monthly totals'!A129)&lt;10,"0","")&amp;MONTH('Monthly totals'!A129)</x:f>
        <x:v>1934-08</x:v>
      </x:c>
      <x:c r="AB157" s="44" t="n">
        <x:f>'Monthly totals'!B129</x:f>
        <x:v>595.5</x:v>
      </x:c>
      <x:c r="AC157" s="44" t="n">
        <x:f>'Monthly totals'!C129</x:f>
        <x:v>487.9</x:v>
      </x:c>
      <x:c r="AD157" s="44" t="n">
        <x:f>'Monthly totals'!D129</x:f>
        <x:v>107.60000000000002</x:v>
      </x:c>
      <x:c r="AE157" s="44" t="n">
        <x:f>MAX(AD157,0)</x:f>
        <x:v>107.60000000000002</x:v>
      </x:c>
      <x:c r="AF157" s="44" t="n">
        <x:f>MIN(AD157,0)</x:f>
        <x:v>0</x:v>
      </x:c>
      <x:c r="AI157" s="36" t="str">
        <x:f>AA150</x:f>
        <x:v>1934-01</x:v>
      </x:c>
      <x:c r="AJ157" s="68" t="n">
        <x:f>'Monthly totals'!I122</x:f>
        <x:v>23.250205858134336</x:v>
      </x:c>
      <x:c r="AK157" s="68" t="n">
        <x:f>'Monthly totals'!J122</x:f>
        <x:v>22.501735779188763</x:v>
      </x:c>
    </x:row>
    <x:row r="158" ht="16.5" customHeight="1">
      <x:c r="K158"/>
      <x:c r="L158"/>
      <x:c r="M158"/>
      <x:c r="N158"/>
      <x:c r="O158"/>
      <x:c r="P158"/>
      <x:c r="AA158" s="46" t="str">
        <x:f>YEAR('Monthly totals'!A130)&amp;"-"&amp;IF(MONTH('Monthly totals'!A130)&lt;10,"0","")&amp;MONTH('Monthly totals'!A130)</x:f>
        <x:v>1934-09</x:v>
      </x:c>
      <x:c r="AB158" s="44" t="n">
        <x:f>'Monthly totals'!B130</x:f>
        <x:v>751.7</x:v>
      </x:c>
      <x:c r="AC158" s="44" t="n">
        <x:f>'Monthly totals'!C130</x:f>
        <x:v>497.1</x:v>
      </x:c>
      <x:c r="AD158" s="44" t="n">
        <x:f>'Monthly totals'!D130</x:f>
        <x:v>254.60000000000002</x:v>
      </x:c>
      <x:c r="AE158" s="44" t="n">
        <x:f>MAX(AD158,0)</x:f>
        <x:v>254.60000000000002</x:v>
      </x:c>
      <x:c r="AF158" s="44" t="n">
        <x:f>MIN(AD158,0)</x:f>
        <x:v>0</x:v>
      </x:c>
      <x:c r="AI158" s="36" t="str">
        <x:f>AA151</x:f>
        <x:v>1934-02</x:v>
      </x:c>
      <x:c r="AJ158" s="68" t="n">
        <x:f>'Monthly totals'!I123</x:f>
        <x:v>26.2910245853429</x:v>
      </x:c>
      <x:c r="AK158" s="68" t="n">
        <x:f>'Monthly totals'!J123</x:f>
        <x:v>30.404813894283503</x:v>
      </x:c>
    </x:row>
    <x:row r="159" ht="16.5" customHeight="1">
      <x:c r="K159"/>
      <x:c r="L159"/>
      <x:c r="M159"/>
      <x:c r="N159"/>
      <x:c r="O159"/>
      <x:c r="P159"/>
      <x:c r="AA159" s="46" t="str">
        <x:f>YEAR('Monthly totals'!A131)&amp;"-"&amp;IF(MONTH('Monthly totals'!A131)&lt;10,"0","")&amp;MONTH('Monthly totals'!A131)</x:f>
        <x:v>1934-10</x:v>
      </x:c>
      <x:c r="AB159" s="44" t="n">
        <x:f>'Monthly totals'!B131</x:f>
        <x:v>723.1</x:v>
      </x:c>
      <x:c r="AC159" s="44" t="n">
        <x:f>'Monthly totals'!C131</x:f>
        <x:v>585.1</x:v>
      </x:c>
      <x:c r="AD159" s="44" t="n">
        <x:f>'Monthly totals'!D131</x:f>
        <x:v>138</x:v>
      </x:c>
      <x:c r="AE159" s="44" t="n">
        <x:f>MAX(AD159,0)</x:f>
        <x:v>138</x:v>
      </x:c>
      <x:c r="AF159" s="44" t="n">
        <x:f>MIN(AD159,0)</x:f>
        <x:v>0</x:v>
      </x:c>
      <x:c r="AI159" s="36" t="str">
        <x:f>AA152</x:f>
        <x:v>1934-03</x:v>
      </x:c>
      <x:c r="AJ159" s="68" t="n">
        <x:f>'Monthly totals'!I124</x:f>
        <x:v>37.10739912951417</x:v>
      </x:c>
      <x:c r="AK159" s="68" t="n">
        <x:f>'Monthly totals'!J124</x:f>
        <x:v>34.274846798619436</x:v>
      </x:c>
    </x:row>
    <x:row r="160" ht="16.5" customHeight="1">
      <x:c r="K160"/>
      <x:c r="L160"/>
      <x:c r="M160"/>
      <x:c r="N160"/>
      <x:c r="O160"/>
      <x:c r="P160"/>
      <x:c r="AA160" s="46" t="str">
        <x:f>YEAR('Monthly totals'!A132)&amp;"-"&amp;IF(MONTH('Monthly totals'!A132)&lt;10,"0","")&amp;MONTH('Monthly totals'!A132)</x:f>
        <x:v>1934-11</x:v>
      </x:c>
      <x:c r="AB160" s="44" t="n">
        <x:f>'Monthly totals'!B132</x:f>
        <x:v>692.7</x:v>
      </x:c>
      <x:c r="AC160" s="44" t="n">
        <x:f>'Monthly totals'!C132</x:f>
        <x:v>595</x:v>
      </x:c>
      <x:c r="AD160" s="44" t="n">
        <x:f>'Monthly totals'!D132</x:f>
        <x:v>97.70000000000005</x:v>
      </x:c>
      <x:c r="AE160" s="44" t="n">
        <x:f>MAX(AD160,0)</x:f>
        <x:v>97.70000000000005</x:v>
      </x:c>
      <x:c r="AF160" s="44" t="n">
        <x:f>MIN(AD160,0)</x:f>
        <x:v>0</x:v>
      </x:c>
      <x:c r="AI160" s="36" t="str">
        <x:f>AA153</x:f>
        <x:v>1934-04</x:v>
      </x:c>
      <x:c r="AJ160" s="68" t="n">
        <x:f>'Monthly totals'!I125</x:f>
        <x:v>32.396188683684265</x:v>
      </x:c>
      <x:c r="AK160" s="68" t="n">
        <x:f>'Monthly totals'!J125</x:f>
        <x:v>34.70954628241379</x:v>
      </x:c>
    </x:row>
    <x:row r="161" ht="16.5" customHeight="1">
      <x:c r="K161"/>
      <x:c r="L161"/>
      <x:c r="M161"/>
      <x:c r="N161"/>
      <x:c r="O161"/>
      <x:c r="P161"/>
      <x:c r="AA161" s="46" t="str">
        <x:f>YEAR('Monthly totals'!A133)&amp;"-"&amp;IF(MONTH('Monthly totals'!A133)&lt;10,"0","")&amp;MONTH('Monthly totals'!A133)</x:f>
        <x:v>1934-12</x:v>
      </x:c>
      <x:c r="AB161" s="44" t="n">
        <x:f>'Monthly totals'!B133</x:f>
        <x:v>756.7</x:v>
      </x:c>
      <x:c r="AC161" s="44" t="n">
        <x:f>'Monthly totals'!C133</x:f>
        <x:v>603.3</x:v>
      </x:c>
      <x:c r="AD161" s="44" t="n">
        <x:f>'Monthly totals'!D133</x:f>
        <x:v>153.4000000000001</x:v>
      </x:c>
      <x:c r="AE161" s="44" t="n">
        <x:f>MAX(AD161,0)</x:f>
        <x:v>153.4000000000001</x:v>
      </x:c>
      <x:c r="AF161" s="44" t="n">
        <x:f>MIN(AD161,0)</x:f>
        <x:v>0</x:v>
      </x:c>
      <x:c r="AI161" s="36" t="str">
        <x:f>AA154</x:f>
        <x:v>1934-05</x:v>
      </x:c>
      <x:c r="AJ161" s="68" t="n">
        <x:f>'Monthly totals'!I126</x:f>
        <x:v>31.67862604399482</x:v>
      </x:c>
      <x:c r="AK161" s="68" t="n">
        <x:f>'Monthly totals'!J126</x:f>
        <x:v>31.40703770414273</x:v>
      </x:c>
    </x:row>
    <x:row r="162" ht="16.5" customHeight="1">
      <x:c r="K162"/>
      <x:c r="L162"/>
      <x:c r="M162"/>
      <x:c r="N162"/>
      <x:c r="O162"/>
      <x:c r="P162"/>
      <x:c r="AA162" s="46" t="str">
        <x:f>YEAR('Monthly totals'!A134)&amp;"-"&amp;IF(MONTH('Monthly totals'!A134)&lt;10,"0","")&amp;MONTH('Monthly totals'!A134)</x:f>
        <x:v>1935-01</x:v>
      </x:c>
      <x:c r="AB162" s="44" t="n">
        <x:f>'Monthly totals'!B134</x:f>
        <x:v>473.8</x:v>
      </x:c>
      <x:c r="AC162" s="44" t="n">
        <x:f>'Monthly totals'!C134</x:f>
        <x:v>413.6</x:v>
      </x:c>
      <x:c r="AD162" s="44" t="n">
        <x:f>'Monthly totals'!D134</x:f>
        <x:v>60.19999999999999</x:v>
      </x:c>
      <x:c r="AE162" s="44" t="n">
        <x:f>MAX(AD162,0)</x:f>
        <x:v>60.19999999999999</x:v>
      </x:c>
      <x:c r="AF162" s="44" t="n">
        <x:f>MIN(AD162,0)</x:f>
        <x:v>0</x:v>
      </x:c>
      <x:c r="AI162" s="36" t="str">
        <x:f>AA155</x:f>
        <x:v>1934-06</x:v>
      </x:c>
      <x:c r="AJ162" s="68" t="n">
        <x:f>'Monthly totals'!I127</x:f>
        <x:v>33.99600047053288</x:v>
      </x:c>
      <x:c r="AK162" s="68" t="n">
        <x:f>'Monthly totals'!J127</x:f>
        <x:v>29.632014811982412</x:v>
      </x:c>
    </x:row>
    <x:row r="163" ht="16.5" customHeight="1">
      <x:c r="K163"/>
      <x:c r="L163"/>
      <x:c r="M163"/>
      <x:c r="N163"/>
      <x:c r="O163"/>
      <x:c r="P163"/>
      <x:c r="AA163" s="46" t="str">
        <x:f>YEAR('Monthly totals'!A135)&amp;"-"&amp;IF(MONTH('Monthly totals'!A135)&lt;10,"0","")&amp;MONTH('Monthly totals'!A135)</x:f>
        <x:v>1935-02</x:v>
      </x:c>
      <x:c r="AB163" s="44" t="n">
        <x:f>'Monthly totals'!B135</x:f>
        <x:v>518.6</x:v>
      </x:c>
      <x:c r="AC163" s="44" t="n">
        <x:f>'Monthly totals'!C135</x:f>
        <x:v>414.3</x:v>
      </x:c>
      <x:c r="AD163" s="44" t="n">
        <x:f>'Monthly totals'!D135</x:f>
        <x:v>104.30000000000001</x:v>
      </x:c>
      <x:c r="AE163" s="44" t="n">
        <x:f>MAX(AD163,0)</x:f>
        <x:v>104.30000000000001</x:v>
      </x:c>
      <x:c r="AF163" s="44" t="n">
        <x:f>MIN(AD163,0)</x:f>
        <x:v>0</x:v>
      </x:c>
      <x:c r="AI163" s="36" t="str">
        <x:f>AA156</x:f>
        <x:v>1934-07</x:v>
      </x:c>
      <x:c r="AJ163" s="68" t="n">
        <x:f>'Monthly totals'!I128</x:f>
        <x:v>36.20162333843077</x:v>
      </x:c>
      <x:c r="AK163" s="68" t="n">
        <x:f>'Monthly totals'!J128</x:f>
        <x:v>34.14805944917941</x:v>
      </x:c>
    </x:row>
    <x:row r="164" ht="16.5" customHeight="1">
      <x:c r="K164"/>
      <x:c r="L164"/>
      <x:c r="M164"/>
      <x:c r="N164"/>
      <x:c r="O164"/>
      <x:c r="P164"/>
      <x:c r="AA164" s="46" t="str">
        <x:f>YEAR('Monthly totals'!A136)&amp;"-"&amp;IF(MONTH('Monthly totals'!A136)&lt;10,"0","")&amp;MONTH('Monthly totals'!A136)</x:f>
        <x:v>1935-03</x:v>
      </x:c>
      <x:c r="AB164" s="44" t="n">
        <x:f>'Monthly totals'!B136</x:f>
        <x:v>584</x:v>
      </x:c>
      <x:c r="AC164" s="44" t="n">
        <x:f>'Monthly totals'!C136</x:f>
        <x:v>516</x:v>
      </x:c>
      <x:c r="AD164" s="44" t="n">
        <x:f>'Monthly totals'!D136</x:f>
        <x:v>68</x:v>
      </x:c>
      <x:c r="AE164" s="44" t="n">
        <x:f>MAX(AD164,0)</x:f>
        <x:v>68</x:v>
      </x:c>
      <x:c r="AF164" s="44" t="n">
        <x:f>MIN(AD164,0)</x:f>
        <x:v>0</x:v>
      </x:c>
      <x:c r="AI164" s="36" t="str">
        <x:f>AA157</x:f>
        <x:v>1934-08</x:v>
      </x:c>
      <x:c r="AJ164" s="68" t="n">
        <x:f>'Monthly totals'!I129</x:f>
        <x:v>35.02529114221856</x:v>
      </x:c>
      <x:c r="AK164" s="68" t="n">
        <x:f>'Monthly totals'!J129</x:f>
        <x:v>29.45692751989857</x:v>
      </x:c>
    </x:row>
    <x:row r="165" ht="16.5" customHeight="1">
      <x:c r="K165"/>
      <x:c r="L165"/>
      <x:c r="M165"/>
      <x:c r="N165"/>
      <x:c r="O165"/>
      <x:c r="P165"/>
      <x:c r="AA165" s="46" t="str">
        <x:f>YEAR('Monthly totals'!A137)&amp;"-"&amp;IF(MONTH('Monthly totals'!A137)&lt;10,"0","")&amp;MONTH('Monthly totals'!A137)</x:f>
        <x:v>1935-04</x:v>
      </x:c>
      <x:c r="AB165" s="44" t="n">
        <x:f>'Monthly totals'!B137</x:f>
        <x:v>620.7</x:v>
      </x:c>
      <x:c r="AC165" s="44" t="n">
        <x:f>'Monthly totals'!C137</x:f>
        <x:v>516.9</x:v>
      </x:c>
      <x:c r="AD165" s="44" t="n">
        <x:f>'Monthly totals'!D137</x:f>
        <x:v>103.80000000000007</x:v>
      </x:c>
      <x:c r="AE165" s="44" t="n">
        <x:f>MAX(AD165,0)</x:f>
        <x:v>103.80000000000007</x:v>
      </x:c>
      <x:c r="AF165" s="44" t="n">
        <x:f>MIN(AD165,0)</x:f>
        <x:v>0</x:v>
      </x:c>
      <x:c r="AI165" s="36" t="str">
        <x:f>AA158</x:f>
        <x:v>1934-09</x:v>
      </x:c>
      <x:c r="AJ165" s="68" t="n">
        <x:f>'Monthly totals'!I130</x:f>
        <x:v>44.21244559463592</x:v>
      </x:c>
      <x:c r="AK165" s="68" t="n">
        <x:f>'Monthly totals'!J130</x:f>
        <x:v>30.012376860302478</x:v>
      </x:c>
    </x:row>
    <x:row r="166" ht="16.5" customHeight="1">
      <x:c r="K166"/>
      <x:c r="L166"/>
      <x:c r="M166"/>
      <x:c r="N166"/>
      <x:c r="O166"/>
      <x:c r="P166"/>
      <x:c r="AA166" s="46" t="str">
        <x:f>YEAR('Monthly totals'!A138)&amp;"-"&amp;IF(MONTH('Monthly totals'!A138)&lt;10,"0","")&amp;MONTH('Monthly totals'!A138)</x:f>
        <x:v>1935-05</x:v>
      </x:c>
      <x:c r="AB166" s="44" t="n">
        <x:f>'Monthly totals'!B138</x:f>
        <x:v>530.8</x:v>
      </x:c>
      <x:c r="AC166" s="44" t="n">
        <x:f>'Monthly totals'!C138</x:f>
        <x:v>537.9</x:v>
      </x:c>
      <x:c r="AD166" s="44" t="n">
        <x:f>'Monthly totals'!D138</x:f>
        <x:v>-7.100000000000023</x:v>
      </x:c>
      <x:c r="AE166" s="44" t="n">
        <x:f>MAX(AD166,0)</x:f>
        <x:v>0</x:v>
      </x:c>
      <x:c r="AF166" s="44" t="n">
        <x:f>MIN(AD166,0)</x:f>
        <x:v>-7.100000000000023</x:v>
      </x:c>
      <x:c r="AI166" s="36" t="str">
        <x:f>AA159</x:f>
        <x:v>1934-10</x:v>
      </x:c>
      <x:c r="AJ166" s="68" t="n">
        <x:f>'Monthly totals'!I131</x:f>
        <x:v>42.53029055405246</x:v>
      </x:c>
      <x:c r="AK166" s="68" t="n">
        <x:f>'Monthly totals'!J131</x:f>
        <x:v>35.325370551122475</x:v>
      </x:c>
    </x:row>
    <x:row r="167" ht="16.5" customHeight="1">
      <x:c r="K167"/>
      <x:c r="L167"/>
      <x:c r="M167"/>
      <x:c r="N167"/>
      <x:c r="O167"/>
      <x:c r="P167"/>
      <x:c r="AA167" s="46" t="str">
        <x:f>YEAR('Monthly totals'!A139)&amp;"-"&amp;IF(MONTH('Monthly totals'!A139)&lt;10,"0","")&amp;MONTH('Monthly totals'!A139)</x:f>
        <x:v>1935-06</x:v>
      </x:c>
      <x:c r="AB167" s="44" t="n">
        <x:f>'Monthly totals'!B139</x:f>
        <x:v>541.1</x:v>
      </x:c>
      <x:c r="AC167" s="44" t="n">
        <x:f>'Monthly totals'!C139</x:f>
        <x:v>477.1</x:v>
      </x:c>
      <x:c r="AD167" s="44" t="n">
        <x:f>'Monthly totals'!D139</x:f>
        <x:v>64</x:v>
      </x:c>
      <x:c r="AE167" s="44" t="n">
        <x:f>MAX(AD167,0)</x:f>
        <x:v>64</x:v>
      </x:c>
      <x:c r="AF167" s="44" t="n">
        <x:f>MIN(AD167,0)</x:f>
        <x:v>0</x:v>
      </x:c>
      <x:c r="AI167" s="36" t="str">
        <x:f>AA160</x:f>
        <x:v>1934-11</x:v>
      </x:c>
      <x:c r="AJ167" s="68" t="n">
        <x:f>'Monthly totals'!I132</x:f>
        <x:v>40.742265615809906</x:v>
      </x:c>
      <x:c r="AK167" s="68" t="n">
        <x:f>'Monthly totals'!J132</x:f>
        <x:v>35.92308234133972</x:v>
      </x:c>
    </x:row>
    <x:row r="168" ht="16.5" customHeight="1">
      <x:c r="K168"/>
      <x:c r="L168"/>
      <x:c r="M168"/>
      <x:c r="N168"/>
      <x:c r="O168"/>
      <x:c r="P168"/>
      <x:c r="AA168" s="46" t="str">
        <x:f>YEAR('Monthly totals'!A140)&amp;"-"&amp;IF(MONTH('Monthly totals'!A140)&lt;10,"0","")&amp;MONTH('Monthly totals'!A140)</x:f>
        <x:v>1935-07</x:v>
      </x:c>
      <x:c r="AB168" s="44" t="n">
        <x:f>'Monthly totals'!B140</x:f>
        <x:v>572.3</x:v>
      </x:c>
      <x:c r="AC168" s="44" t="n">
        <x:f>'Monthly totals'!C140</x:f>
        <x:v>485.5</x:v>
      </x:c>
      <x:c r="AD168" s="44" t="n">
        <x:f>'Monthly totals'!D140</x:f>
        <x:v>86.79999999999995</x:v>
      </x:c>
      <x:c r="AE168" s="44" t="n">
        <x:f>MAX(AD168,0)</x:f>
        <x:v>86.79999999999995</x:v>
      </x:c>
      <x:c r="AF168" s="44" t="n">
        <x:f>MIN(AD168,0)</x:f>
        <x:v>0</x:v>
      </x:c>
      <x:c r="AI168" s="36" t="str">
        <x:f>AA161</x:f>
        <x:v>1934-12</x:v>
      </x:c>
      <x:c r="AJ168" s="68" t="n">
        <x:f>'Monthly totals'!I133</x:f>
        <x:v>44.50652864368897</x:v>
      </x:c>
      <x:c r="AK168" s="68" t="n">
        <x:f>'Monthly totals'!J133</x:f>
        <x:v>36.42419424626933</x:v>
      </x:c>
    </x:row>
    <x:row r="169" ht="16.5" customHeight="1">
      <x:c r="K169"/>
      <x:c r="L169"/>
      <x:c r="M169"/>
      <x:c r="N169"/>
      <x:c r="O169"/>
      <x:c r="P169"/>
      <x:c r="AA169" s="46" t="str">
        <x:f>YEAR('Monthly totals'!A141)&amp;"-"&amp;IF(MONTH('Monthly totals'!A141)&lt;10,"0","")&amp;MONTH('Monthly totals'!A141)</x:f>
        <x:v>1935-08</x:v>
      </x:c>
      <x:c r="AB169" s="44" t="n">
        <x:f>'Monthly totals'!B141</x:f>
        <x:v>615.1</x:v>
      </x:c>
      <x:c r="AC169" s="44" t="n">
        <x:f>'Monthly totals'!C141</x:f>
        <x:v>524.7</x:v>
      </x:c>
      <x:c r="AD169" s="44" t="n">
        <x:f>'Monthly totals'!D141</x:f>
        <x:v>90.39999999999998</x:v>
      </x:c>
      <x:c r="AE169" s="44" t="n">
        <x:f>MAX(AD169,0)</x:f>
        <x:v>90.39999999999998</x:v>
      </x:c>
      <x:c r="AF169" s="44" t="n">
        <x:f>MIN(AD169,0)</x:f>
        <x:v>0</x:v>
      </x:c>
      <x:c r="AI169" s="36" t="str">
        <x:f>AA162</x:f>
        <x:v>1935-01</x:v>
      </x:c>
      <x:c r="AJ169" s="68" t="n">
        <x:f>'Monthly totals'!I134</x:f>
        <x:v>27.867309728267262</x:v>
      </x:c>
      <x:c r="AK169" s="68" t="n">
        <x:f>'Monthly totals'!J134</x:f>
        <x:v>24.971070346853963</x:v>
      </x:c>
    </x:row>
    <x:row r="170" ht="16.5" customHeight="1">
      <x:c r="K170"/>
      <x:c r="L170"/>
      <x:c r="M170"/>
      <x:c r="N170"/>
      <x:c r="O170"/>
      <x:c r="P170"/>
      <x:c r="AA170" s="46" t="str">
        <x:f>YEAR('Monthly totals'!A142)&amp;"-"&amp;IF(MONTH('Monthly totals'!A142)&lt;10,"0","")&amp;MONTH('Monthly totals'!A142)</x:f>
        <x:v>1935-09</x:v>
      </x:c>
      <x:c r="AB170" s="44" t="n">
        <x:f>'Monthly totals'!B142</x:f>
        <x:v>658.8</x:v>
      </x:c>
      <x:c r="AC170" s="44" t="n">
        <x:f>'Monthly totals'!C142</x:f>
        <x:v>622.9</x:v>
      </x:c>
      <x:c r="AD170" s="44" t="n">
        <x:f>'Monthly totals'!D142</x:f>
        <x:v>35.89999999999998</x:v>
      </x:c>
      <x:c r="AE170" s="44" t="n">
        <x:f>MAX(AD170,0)</x:f>
        <x:v>35.89999999999998</x:v>
      </x:c>
      <x:c r="AF170" s="44" t="n">
        <x:f>MIN(AD170,0)</x:f>
        <x:v>0</x:v>
      </x:c>
      <x:c r="AI170" s="36" t="str">
        <x:f>AA163</x:f>
        <x:v>1935-02</x:v>
      </x:c>
      <x:c r="AJ170" s="68" t="n">
        <x:f>'Monthly totals'!I135</x:f>
        <x:v>30.502293847782614</x:v>
      </x:c>
      <x:c r="AK170" s="68" t="n">
        <x:f>'Monthly totals'!J135</x:f>
        <x:v>25.013332796667306</x:v>
      </x:c>
    </x:row>
    <x:row r="171" ht="16.5" customHeight="1">
      <x:c r="K171"/>
      <x:c r="L171"/>
      <x:c r="M171"/>
      <x:c r="N171"/>
      <x:c r="O171"/>
      <x:c r="P171"/>
      <x:c r="AA171" s="46" t="str">
        <x:f>YEAR('Monthly totals'!A143)&amp;"-"&amp;IF(MONTH('Monthly totals'!A143)&lt;10,"0","")&amp;MONTH('Monthly totals'!A143)</x:f>
        <x:v>1935-10</x:v>
      </x:c>
      <x:c r="AB171" s="44" t="n">
        <x:f>'Monthly totals'!B143</x:f>
        <x:v>771.4</x:v>
      </x:c>
      <x:c r="AC171" s="44" t="n">
        <x:f>'Monthly totals'!C143</x:f>
        <x:v>657.8</x:v>
      </x:c>
      <x:c r="AD171" s="44" t="n">
        <x:f>'Monthly totals'!D143</x:f>
        <x:v>113.60000000000002</x:v>
      </x:c>
      <x:c r="AE171" s="44" t="n">
        <x:f>MAX(AD171,0)</x:f>
        <x:v>113.60000000000002</x:v>
      </x:c>
      <x:c r="AF171" s="44" t="n">
        <x:f>MIN(AD171,0)</x:f>
        <x:v>0</x:v>
      </x:c>
      <x:c r="AI171" s="36" t="str">
        <x:f>AA164</x:f>
        <x:v>1935-03</x:v>
      </x:c>
      <x:c r="AJ171" s="68" t="n">
        <x:f>'Monthly totals'!I136</x:f>
        <x:v>34.34890012939654</x:v>
      </x:c>
      <x:c r="AK171" s="68" t="n">
        <x:f>'Monthly totals'!J136</x:f>
        <x:v>31.153463005262683</x:v>
      </x:c>
    </x:row>
    <x:row r="172" ht="16.5" customHeight="1">
      <x:c r="K172"/>
      <x:c r="L172"/>
      <x:c r="M172"/>
      <x:c r="N172"/>
      <x:c r="O172"/>
      <x:c r="P172"/>
      <x:c r="AA172" s="46" t="str">
        <x:f>YEAR('Monthly totals'!A144)&amp;"-"&amp;IF(MONTH('Monthly totals'!A144)&lt;10,"0","")&amp;MONTH('Monthly totals'!A144)</x:f>
        <x:v>1935-11</x:v>
      </x:c>
      <x:c r="AB172" s="44" t="n">
        <x:f>'Monthly totals'!B144</x:f>
        <x:v>823.5</x:v>
      </x:c>
      <x:c r="AC172" s="44" t="n">
        <x:f>'Monthly totals'!C144</x:f>
        <x:v>788.2</x:v>
      </x:c>
      <x:c r="AD172" s="44" t="n">
        <x:f>'Monthly totals'!D144</x:f>
        <x:v>35.299999999999955</x:v>
      </x:c>
      <x:c r="AE172" s="44" t="n">
        <x:f>MAX(AD172,0)</x:f>
        <x:v>35.299999999999955</x:v>
      </x:c>
      <x:c r="AF172" s="44" t="n">
        <x:f>MIN(AD172,0)</x:f>
        <x:v>0</x:v>
      </x:c>
      <x:c r="AI172" s="36" t="str">
        <x:f>AA165</x:f>
        <x:v>1935-04</x:v>
      </x:c>
      <x:c r="AJ172" s="68" t="n">
        <x:f>'Monthly totals'!I137</x:f>
        <x:v>36.50746970944595</x:v>
      </x:c>
      <x:c r="AK172" s="68" t="n">
        <x:f>'Monthly totals'!J137</x:f>
        <x:v>31.20780044073698</x:v>
      </x:c>
    </x:row>
    <x:row r="173" ht="16.5" customHeight="1">
      <x:c r="K173"/>
      <x:c r="L173"/>
      <x:c r="M173"/>
      <x:c r="N173"/>
      <x:c r="O173"/>
      <x:c r="P173"/>
      <x:c r="AA173" s="46" t="str">
        <x:f>YEAR('Monthly totals'!A145)&amp;"-"&amp;IF(MONTH('Monthly totals'!A145)&lt;10,"0","")&amp;MONTH('Monthly totals'!A145)</x:f>
        <x:v>1935-12</x:v>
      </x:c>
      <x:c r="AB173" s="44" t="n">
        <x:f>'Monthly totals'!B145</x:f>
        <x:v>692.7</x:v>
      </x:c>
      <x:c r="AC173" s="44" t="n">
        <x:f>'Monthly totals'!C145</x:f>
        <x:v>752.6</x:v>
      </x:c>
      <x:c r="AD173" s="44" t="n">
        <x:f>'Monthly totals'!D145</x:f>
        <x:v>-59.89999999999998</x:v>
      </x:c>
      <x:c r="AE173" s="44" t="n">
        <x:f>MAX(AD173,0)</x:f>
        <x:v>0</x:v>
      </x:c>
      <x:c r="AF173" s="44" t="n">
        <x:f>MIN(AD173,0)</x:f>
        <x:v>-59.89999999999998</x:v>
      </x:c>
      <x:c r="AI173" s="36" t="str">
        <x:f>AA166</x:f>
        <x:v>1935-05</x:v>
      </x:c>
      <x:c r="AJ173" s="68" t="n">
        <x:f>'Monthly totals'!I138</x:f>
        <x:v>31.219856487472057</x:v>
      </x:c>
      <x:c r="AK173" s="68" t="n">
        <x:f>'Monthly totals'!J138</x:f>
        <x:v>32.4756739351372</x:v>
      </x:c>
    </x:row>
    <x:row r="174" ht="16.5" customHeight="1">
      <x:c r="K174"/>
      <x:c r="L174"/>
      <x:c r="M174"/>
      <x:c r="N174"/>
      <x:c r="O174"/>
      <x:c r="P174"/>
      <x:c r="AA174" s="46" t="str">
        <x:f>YEAR('Monthly totals'!A146)&amp;"-"&amp;IF(MONTH('Monthly totals'!A146)&lt;10,"0","")&amp;MONTH('Monthly totals'!A146)</x:f>
        <x:v>1936-01</x:v>
      </x:c>
      <x:c r="AB174" s="44" t="n">
        <x:f>'Monthly totals'!B146</x:f>
        <x:v>495.2</x:v>
      </x:c>
      <x:c r="AC174" s="44" t="n">
        <x:f>'Monthly totals'!C146</x:f>
        <x:v>528.6</x:v>
      </x:c>
      <x:c r="AD174" s="44" t="n">
        <x:f>'Monthly totals'!D146</x:f>
        <x:v>-33.400000000000034</x:v>
      </x:c>
      <x:c r="AE174" s="44" t="n">
        <x:f>MAX(AD174,0)</x:f>
        <x:v>0</x:v>
      </x:c>
      <x:c r="AF174" s="44" t="n">
        <x:f>MIN(AD174,0)</x:f>
        <x:v>-33.400000000000034</x:v>
      </x:c>
      <x:c r="AI174" s="36" t="str">
        <x:f>AA167</x:f>
        <x:v>1935-06</x:v>
      </x:c>
      <x:c r="AJ174" s="68" t="n">
        <x:f>'Monthly totals'!I139</x:f>
        <x:v>31.82566756852135</x:v>
      </x:c>
      <x:c r="AK174" s="68" t="n">
        <x:f>'Monthly totals'!J139</x:f>
        <x:v>28.804878294207025</x:v>
      </x:c>
    </x:row>
    <x:row r="175" ht="16.5" customHeight="1">
      <x:c r="K175"/>
      <x:c r="L175"/>
      <x:c r="M175"/>
      <x:c r="N175"/>
      <x:c r="O175"/>
      <x:c r="P175"/>
      <x:c r="AA175" s="46" t="str">
        <x:f>YEAR('Monthly totals'!A147)&amp;"-"&amp;IF(MONTH('Monthly totals'!A147)&lt;10,"0","")&amp;MONTH('Monthly totals'!A147)</x:f>
        <x:v>1936-02</x:v>
      </x:c>
      <x:c r="AB175" s="44" t="n">
        <x:f>'Monthly totals'!B147</x:f>
        <x:v>600.1</x:v>
      </x:c>
      <x:c r="AC175" s="44" t="n">
        <x:f>'Monthly totals'!C147</x:f>
        <x:v>543.2</x:v>
      </x:c>
      <x:c r="AD175" s="44" t="n">
        <x:f>'Monthly totals'!D147</x:f>
        <x:v>56.89999999999998</x:v>
      </x:c>
      <x:c r="AE175" s="44" t="n">
        <x:f>MAX(AD175,0)</x:f>
        <x:v>56.89999999999998</x:v>
      </x:c>
      <x:c r="AF175" s="44" t="n">
        <x:f>MIN(AD175,0)</x:f>
        <x:v>0</x:v>
      </x:c>
      <x:c r="AI175" s="36" t="str">
        <x:f>AA168</x:f>
        <x:v>1935-07</x:v>
      </x:c>
      <x:c r="AJ175" s="68" t="n">
        <x:f>'Monthly totals'!I140</x:f>
        <x:v>33.660745794612396</x:v>
      </x:c>
      <x:c r="AK175" s="68" t="n">
        <x:f>'Monthly totals'!J140</x:f>
        <x:v>29.312027691967117</x:v>
      </x:c>
    </x:row>
    <x:row r="176" ht="16.5" customHeight="1">
      <x:c r="K176"/>
      <x:c r="L176"/>
      <x:c r="M176"/>
      <x:c r="N176"/>
      <x:c r="O176"/>
      <x:c r="P176"/>
      <x:c r="AA176" s="46" t="str">
        <x:f>YEAR('Monthly totals'!A148)&amp;"-"&amp;IF(MONTH('Monthly totals'!A148)&lt;10,"0","")&amp;MONTH('Monthly totals'!A148)</x:f>
        <x:v>1936-03</x:v>
      </x:c>
      <x:c r="AB176" s="44" t="n">
        <x:f>'Monthly totals'!B148</x:f>
        <x:v>630.8</x:v>
      </x:c>
      <x:c r="AC176" s="44" t="n">
        <x:f>'Monthly totals'!C148</x:f>
        <x:v>582.8</x:v>
      </x:c>
      <x:c r="AD176" s="44" t="n">
        <x:f>'Monthly totals'!D148</x:f>
        <x:v>48</x:v>
      </x:c>
      <x:c r="AE176" s="44" t="n">
        <x:f>MAX(AD176,0)</x:f>
        <x:v>48</x:v>
      </x:c>
      <x:c r="AF176" s="44" t="n">
        <x:f>MIN(AD176,0)</x:f>
        <x:v>0</x:v>
      </x:c>
      <x:c r="AI176" s="36" t="str">
        <x:f>AA169</x:f>
        <x:v>1935-08</x:v>
      </x:c>
      <x:c r="AJ176" s="68" t="n">
        <x:f>'Monthly totals'!I141</x:f>
        <x:v>36.17809669450653</x:v>
      </x:c>
      <x:c r="AK176" s="68" t="n">
        <x:f>'Monthly totals'!J141</x:f>
        <x:v>31.67872488151421</x:v>
      </x:c>
    </x:row>
    <x:row r="177" ht="16.5" customHeight="1">
      <x:c r="K177"/>
      <x:c r="L177"/>
      <x:c r="M177"/>
      <x:c r="N177"/>
      <x:c r="O177"/>
      <x:c r="P177"/>
      <x:c r="AA177" s="46" t="str">
        <x:f>YEAR('Monthly totals'!A149)&amp;"-"&amp;IF(MONTH('Monthly totals'!A149)&lt;10,"0","")&amp;MONTH('Monthly totals'!A149)</x:f>
        <x:v>1936-04</x:v>
      </x:c>
      <x:c r="AB177" s="44" t="n">
        <x:f>'Monthly totals'!B149</x:f>
        <x:v>575.6</x:v>
      </x:c>
      <x:c r="AC177" s="44" t="n">
        <x:f>'Monthly totals'!C149</x:f>
        <x:v>652.8</x:v>
      </x:c>
      <x:c r="AD177" s="44" t="n">
        <x:f>'Monthly totals'!D149</x:f>
        <x:v>-77.19999999999993</x:v>
      </x:c>
      <x:c r="AE177" s="44" t="n">
        <x:f>MAX(AD177,0)</x:f>
        <x:v>0</x:v>
      </x:c>
      <x:c r="AF177" s="44" t="n">
        <x:f>MIN(AD177,0)</x:f>
        <x:v>-77.19999999999993</x:v>
      </x:c>
      <x:c r="AI177" s="36" t="str">
        <x:f>AA170</x:f>
        <x:v>1935-09</x:v>
      </x:c>
      <x:c r="AJ177" s="68" t="n">
        <x:f>'Monthly totals'!I142</x:f>
        <x:v>38.74838254323021</x:v>
      </x:c>
      <x:c r="AK177" s="68" t="n">
        <x:f>'Monthly totals'!J142</x:f>
        <x:v>37.60754284104288</x:v>
      </x:c>
    </x:row>
    <x:row r="178" ht="16.5" customHeight="1">
      <x:c r="K178"/>
      <x:c r="L178"/>
      <x:c r="M178"/>
      <x:c r="N178"/>
      <x:c r="O178"/>
      <x:c r="P178"/>
      <x:c r="AA178" s="46" t="str">
        <x:f>YEAR('Monthly totals'!A150)&amp;"-"&amp;IF(MONTH('Monthly totals'!A150)&lt;10,"0","")&amp;MONTH('Monthly totals'!A150)</x:f>
        <x:v>1936-05</x:v>
      </x:c>
      <x:c r="AB178" s="44" t="n">
        <x:f>'Monthly totals'!B150</x:f>
        <x:v>646.1</x:v>
      </x:c>
      <x:c r="AC178" s="44" t="n">
        <x:f>'Monthly totals'!C150</x:f>
        <x:v>635.9</x:v>
      </x:c>
      <x:c r="AD178" s="44" t="n">
        <x:f>'Monthly totals'!D150</x:f>
        <x:v>10.200000000000045</x:v>
      </x:c>
      <x:c r="AE178" s="44" t="n">
        <x:f>MAX(AD178,0)</x:f>
        <x:v>10.200000000000045</x:v>
      </x:c>
      <x:c r="AF178" s="44" t="n">
        <x:f>MIN(AD178,0)</x:f>
        <x:v>0</x:v>
      </x:c>
      <x:c r="AI178" s="36" t="str">
        <x:f>AA171</x:f>
        <x:v>1935-10</x:v>
      </x:c>
      <x:c r="AJ178" s="68" t="n">
        <x:f>'Monthly totals'!I143</x:f>
        <x:v>45.37113280790495</x:v>
      </x:c>
      <x:c r="AK178" s="68" t="n">
        <x:f>'Monthly totals'!J143</x:f>
        <x:v>39.714627838879444</x:v>
      </x:c>
    </x:row>
    <x:row r="179" ht="16.5" customHeight="1">
      <x:c r="K179"/>
      <x:c r="L179"/>
      <x:c r="M179"/>
      <x:c r="N179"/>
      <x:c r="O179"/>
      <x:c r="P179"/>
      <x:c r="AA179" s="46" t="str">
        <x:f>YEAR('Monthly totals'!A151)&amp;"-"&amp;IF(MONTH('Monthly totals'!A151)&lt;10,"0","")&amp;MONTH('Monthly totals'!A151)</x:f>
        <x:v>1936-06</x:v>
      </x:c>
      <x:c r="AB179" s="44" t="n">
        <x:f>'Monthly totals'!B151</x:f>
        <x:v>534.6</x:v>
      </x:c>
      <x:c r="AC179" s="44" t="n">
        <x:f>'Monthly totals'!C151</x:f>
        <x:v>528.7</x:v>
      </x:c>
      <x:c r="AD179" s="44" t="n">
        <x:f>'Monthly totals'!D151</x:f>
        <x:v>5.899999999999977</x:v>
      </x:c>
      <x:c r="AE179" s="44" t="n">
        <x:f>MAX(AD179,0)</x:f>
        <x:v>5.899999999999977</x:v>
      </x:c>
      <x:c r="AF179" s="44" t="n">
        <x:f>MIN(AD179,0)</x:f>
        <x:v>0</x:v>
      </x:c>
      <x:c r="AI179" s="36" t="str">
        <x:f>AA172</x:f>
        <x:v>1935-11</x:v>
      </x:c>
      <x:c r="AJ179" s="68" t="n">
        <x:f>'Monthly totals'!I144</x:f>
        <x:v>48.43547817903776</x:v>
      </x:c>
      <x:c r="AK179" s="68" t="n">
        <x:f>'Monthly totals'!J144</x:f>
        <x:v>47.5875184898218</x:v>
      </x:c>
    </x:row>
    <x:row r="180" ht="16.5" customHeight="1">
      <x:c r="K180"/>
      <x:c r="L180"/>
      <x:c r="M180"/>
      <x:c r="N180"/>
      <x:c r="O180"/>
      <x:c r="P180"/>
      <x:c r="AA180" s="46" t="str">
        <x:f>YEAR('Monthly totals'!A152)&amp;"-"&amp;IF(MONTH('Monthly totals'!A152)&lt;10,"0","")&amp;MONTH('Monthly totals'!A152)</x:f>
        <x:v>1936-07</x:v>
      </x:c>
      <x:c r="AB180" s="44" t="n">
        <x:f>'Monthly totals'!B152</x:f>
        <x:v>579.1</x:v>
      </x:c>
      <x:c r="AC180" s="44" t="n">
        <x:f>'Monthly totals'!C152</x:f>
        <x:v>548</x:v>
      </x:c>
      <x:c r="AD180" s="44" t="n">
        <x:f>'Monthly totals'!D152</x:f>
        <x:v>31.100000000000023</x:v>
      </x:c>
      <x:c r="AE180" s="44" t="n">
        <x:f>MAX(AD180,0)</x:f>
        <x:v>31.100000000000023</x:v>
      </x:c>
      <x:c r="AF180" s="44" t="n">
        <x:f>MIN(AD180,0)</x:f>
        <x:v>0</x:v>
      </x:c>
      <x:c r="AI180" s="36" t="str">
        <x:f>AA173</x:f>
        <x:v>1935-12</x:v>
      </x:c>
      <x:c r="AJ180" s="68" t="n">
        <x:f>'Monthly totals'!I145</x:f>
        <x:v>40.742265615809906</x:v>
      </x:c>
      <x:c r="AK180" s="68" t="n">
        <x:f>'Monthly totals'!J145</x:f>
        <x:v>45.43817104217189</x:v>
      </x:c>
    </x:row>
    <x:row r="181" ht="16.5" customHeight="1">
      <x:c r="K181"/>
      <x:c r="L181"/>
      <x:c r="M181"/>
      <x:c r="N181"/>
      <x:c r="O181"/>
      <x:c r="P181"/>
      <x:c r="AA181" s="46" t="str">
        <x:f>YEAR('Monthly totals'!A153)&amp;"-"&amp;IF(MONTH('Monthly totals'!A153)&lt;10,"0","")&amp;MONTH('Monthly totals'!A153)</x:f>
        <x:v>1936-08</x:v>
      </x:c>
      <x:c r="AB181" s="44" t="n">
        <x:f>'Monthly totals'!B153</x:f>
        <x:v>696</x:v>
      </x:c>
      <x:c r="AC181" s="44" t="n">
        <x:f>'Monthly totals'!C153</x:f>
        <x:v>583.4</x:v>
      </x:c>
      <x:c r="AD181" s="44" t="n">
        <x:f>'Monthly totals'!D153</x:f>
        <x:v>112.60000000000002</x:v>
      </x:c>
      <x:c r="AE181" s="44" t="n">
        <x:f>MAX(AD181,0)</x:f>
        <x:v>112.60000000000002</x:v>
      </x:c>
      <x:c r="AF181" s="44" t="n">
        <x:f>MIN(AD181,0)</x:f>
        <x:v>0</x:v>
      </x:c>
      <x:c r="AI181" s="36" t="str">
        <x:f>AA174</x:f>
        <x:v>1936-01</x:v>
      </x:c>
      <x:c r="AJ181" s="68" t="n">
        <x:f>'Monthly totals'!I146</x:f>
        <x:v>29.12598517821433</x:v>
      </x:c>
      <x:c r="AK181" s="68" t="n">
        <x:f>'Monthly totals'!J146</x:f>
        <x:v>31.91418710190282</x:v>
      </x:c>
    </x:row>
    <x:row r="182" ht="16.5" customHeight="1">
      <x:c r="K182"/>
      <x:c r="L182"/>
      <x:c r="M182"/>
      <x:c r="N182"/>
      <x:c r="O182"/>
      <x:c r="P182"/>
      <x:c r="AA182" s="46" t="str">
        <x:f>YEAR('Monthly totals'!A154)&amp;"-"&amp;IF(MONTH('Monthly totals'!A154)&lt;10,"0","")&amp;MONTH('Monthly totals'!A154)</x:f>
        <x:v>1936-09</x:v>
      </x:c>
      <x:c r="AB182" s="44" t="n">
        <x:f>'Monthly totals'!B154</x:f>
        <x:v>707.7</x:v>
      </x:c>
      <x:c r="AC182" s="44" t="n">
        <x:f>'Monthly totals'!C154</x:f>
        <x:v>610.2</x:v>
      </x:c>
      <x:c r="AD182" s="44" t="n">
        <x:f>'Monthly totals'!D154</x:f>
        <x:v>97.5</x:v>
      </x:c>
      <x:c r="AE182" s="44" t="n">
        <x:f>MAX(AD182,0)</x:f>
        <x:v>97.5</x:v>
      </x:c>
      <x:c r="AF182" s="44" t="n">
        <x:f>MIN(AD182,0)</x:f>
        <x:v>0</x:v>
      </x:c>
      <x:c r="AI182" s="36" t="str">
        <x:f>AA175</x:f>
        <x:v>1936-02</x:v>
      </x:c>
      <x:c r="AJ182" s="68" t="n">
        <x:f>'Monthly totals'!I147</x:f>
        <x:v>35.29584754734737</x:v>
      </x:c>
      <x:c r="AK182" s="68" t="n">
        <x:f>'Monthly totals'!J147</x:f>
        <x:v>32.7956610551525</x:v>
      </x:c>
    </x:row>
    <x:row r="183" ht="16.5" customHeight="1">
      <x:c r="K183"/>
      <x:c r="L183"/>
      <x:c r="M183"/>
      <x:c r="N183"/>
      <x:c r="O183"/>
      <x:c r="P183"/>
      <x:c r="AA183" s="46" t="str">
        <x:f>YEAR('Monthly totals'!A155)&amp;"-"&amp;IF(MONTH('Monthly totals'!A155)&lt;10,"0","")&amp;MONTH('Monthly totals'!A155)</x:f>
        <x:v>1936-10</x:v>
      </x:c>
      <x:c r="AB183" s="44" t="n">
        <x:f>'Monthly totals'!B155</x:f>
        <x:v>767.9</x:v>
      </x:c>
      <x:c r="AC183" s="44" t="n">
        <x:f>'Monthly totals'!C155</x:f>
        <x:v>789.6</x:v>
      </x:c>
      <x:c r="AD183" s="44" t="n">
        <x:f>'Monthly totals'!D155</x:f>
        <x:v>-21.700000000000045</x:v>
      </x:c>
      <x:c r="AE183" s="44" t="n">
        <x:f>MAX(AD183,0)</x:f>
        <x:v>0</x:v>
      </x:c>
      <x:c r="AF183" s="44" t="n">
        <x:f>MIN(AD183,0)</x:f>
        <x:v>-21.700000000000045</x:v>
      </x:c>
      <x:c r="AI183" s="36" t="str">
        <x:f>AA176</x:f>
        <x:v>1936-03</x:v>
      </x:c>
      <x:c r="AJ183" s="68" t="n">
        <x:f>'Monthly totals'!I148</x:f>
        <x:v>37.10151746853311</x:v>
      </x:c>
      <x:c r="AK183" s="68" t="n">
        <x:f>'Monthly totals'!J148</x:f>
        <x:v>35.186508216021494</x:v>
      </x:c>
    </x:row>
    <x:row r="184" ht="16.5" customHeight="1">
      <x:c r="K184"/>
      <x:c r="L184"/>
      <x:c r="M184"/>
      <x:c r="N184"/>
      <x:c r="O184"/>
      <x:c r="P184"/>
      <x:c r="AA184" s="46" t="str">
        <x:f>YEAR('Monthly totals'!A156)&amp;"-"&amp;IF(MONTH('Monthly totals'!A156)&lt;10,"0","")&amp;MONTH('Monthly totals'!A156)</x:f>
        <x:v>1936-11</x:v>
      </x:c>
      <x:c r="AB184" s="44" t="n">
        <x:f>'Monthly totals'!B156</x:f>
        <x:v>862.8</x:v>
      </x:c>
      <x:c r="AC184" s="44" t="n">
        <x:f>'Monthly totals'!C156</x:f>
        <x:v>869.8</x:v>
      </x:c>
      <x:c r="AD184" s="44" t="n">
        <x:f>'Monthly totals'!D156</x:f>
        <x:v>-7</x:v>
      </x:c>
      <x:c r="AE184" s="44" t="n">
        <x:f>MAX(AD184,0)</x:f>
        <x:v>0</x:v>
      </x:c>
      <x:c r="AF184" s="44" t="n">
        <x:f>MIN(AD184,0)</x:f>
        <x:v>-7</x:v>
      </x:c>
      <x:c r="AI184" s="36" t="str">
        <x:f>AA177</x:f>
        <x:v>1936-04</x:v>
      </x:c>
      <x:c r="AJ184" s="68" t="n">
        <x:f>'Monthly totals'!I149</x:f>
        <x:v>33.85484060698741</x:v>
      </x:c>
      <x:c r="AK184" s="68" t="n">
        <x:f>'Monthly totals'!J149</x:f>
        <x:v>39.41275319735558</x:v>
      </x:c>
    </x:row>
    <x:row r="185" ht="16.5" customHeight="1">
      <x:c r="K185"/>
      <x:c r="L185"/>
      <x:c r="M185"/>
      <x:c r="N185"/>
      <x:c r="O185"/>
      <x:c r="P185"/>
      <x:c r="AA185" s="46" t="str">
        <x:f>YEAR('Monthly totals'!A157)&amp;"-"&amp;IF(MONTH('Monthly totals'!A157)&lt;10,"0","")&amp;MONTH('Monthly totals'!A157)</x:f>
        <x:v>1936-12</x:v>
      </x:c>
      <x:c r="AB185" s="44" t="n">
        <x:f>'Monthly totals'!B157</x:f>
        <x:v>906.8</x:v>
      </x:c>
      <x:c r="AC185" s="44" t="n">
        <x:f>'Monthly totals'!C157</x:f>
        <x:v>1015.5</x:v>
      </x:c>
      <x:c r="AD185" s="44" t="n">
        <x:f>'Monthly totals'!D157</x:f>
        <x:v>-108.70000000000005</x:v>
      </x:c>
      <x:c r="AE185" s="44" t="n">
        <x:f>MAX(AD185,0)</x:f>
        <x:v>0</x:v>
      </x:c>
      <x:c r="AF185" s="44" t="n">
        <x:f>MIN(AD185,0)</x:f>
        <x:v>-108.70000000000005</x:v>
      </x:c>
      <x:c r="AI185" s="36" t="str">
        <x:f>AA178</x:f>
        <x:v>1936-05</x:v>
      </x:c>
      <x:c r="AJ185" s="68" t="n">
        <x:f>'Monthly totals'!I150</x:f>
        <x:v>38.00141159863546</x:v>
      </x:c>
      <x:c r="AK185" s="68" t="n">
        <x:f>'Monthly totals'!J150</x:f>
        <x:v>38.39241690900492</x:v>
      </x:c>
    </x:row>
    <x:row r="186" ht="16.5" customHeight="1">
      <x:c r="K186"/>
      <x:c r="L186"/>
      <x:c r="M186"/>
      <x:c r="N186"/>
      <x:c r="O186"/>
      <x:c r="P186"/>
      <x:c r="AA186" s="46" t="str">
        <x:f>YEAR('Monthly totals'!A158)&amp;"-"&amp;IF(MONTH('Monthly totals'!A158)&lt;10,"0","")&amp;MONTH('Monthly totals'!A158)</x:f>
        <x:v>1937-01</x:v>
      </x:c>
      <x:c r="AB186" s="44" t="n">
        <x:f>'Monthly totals'!B158</x:f>
        <x:v>650</x:v>
      </x:c>
      <x:c r="AC186" s="44" t="n">
        <x:f>'Monthly totals'!C158</x:f>
        <x:v>700</x:v>
      </x:c>
      <x:c r="AD186" s="44" t="n">
        <x:f>'Monthly totals'!D158</x:f>
        <x:v>-50</x:v>
      </x:c>
      <x:c r="AE186" s="44" t="n">
        <x:f>MAX(AD186,0)</x:f>
        <x:v>0</x:v>
      </x:c>
      <x:c r="AF186" s="44" t="n">
        <x:f>MIN(AD186,0)</x:f>
        <x:v>-50</x:v>
      </x:c>
      <x:c r="AI186" s="36" t="str">
        <x:f>AA179</x:f>
        <x:v>1936-06</x:v>
      </x:c>
      <x:c r="AJ186" s="68" t="n">
        <x:f>'Monthly totals'!I151</x:f>
        <x:v>31.44335960475238</x:v>
      </x:c>
      <x:c r="AK186" s="68" t="n">
        <x:f>'Monthly totals'!J151</x:f>
        <x:v>31.9202245947333</x:v>
      </x:c>
    </x:row>
    <x:row r="187" ht="16.5" customHeight="1">
      <x:c r="K187"/>
      <x:c r="L187"/>
      <x:c r="M187"/>
      <x:c r="N187"/>
      <x:c r="O187"/>
      <x:c r="P187"/>
      <x:c r="AA187" s="46" t="str">
        <x:f>YEAR('Monthly totals'!A159)&amp;"-"&amp;IF(MONTH('Monthly totals'!A159)&lt;10,"0","")&amp;MONTH('Monthly totals'!A159)</x:f>
        <x:v>1937-02</x:v>
      </x:c>
      <x:c r="AB187" s="44" t="n">
        <x:f>'Monthly totals'!B159</x:f>
        <x:v>877</x:v>
      </x:c>
      <x:c r="AC187" s="44" t="n">
        <x:f>'Monthly totals'!C159</x:f>
        <x:v>782</x:v>
      </x:c>
      <x:c r="AD187" s="44" t="n">
        <x:f>'Monthly totals'!D159</x:f>
        <x:v>95</x:v>
      </x:c>
      <x:c r="AE187" s="44" t="n">
        <x:f>MAX(AD187,0)</x:f>
        <x:v>95</x:v>
      </x:c>
      <x:c r="AF187" s="44" t="n">
        <x:f>MIN(AD187,0)</x:f>
        <x:v>0</x:v>
      </x:c>
      <x:c r="AI187" s="36" t="str">
        <x:f>AA180</x:f>
        <x:v>1936-07</x:v>
      </x:c>
      <x:c r="AJ187" s="68" t="n">
        <x:f>'Monthly totals'!I152</x:f>
        <x:v>34.06069874132455</x:v>
      </x:c>
      <x:c r="AK187" s="68" t="n">
        <x:f>'Monthly totals'!J152</x:f>
        <x:v>33.08546071101541</x:v>
      </x:c>
    </x:row>
    <x:row r="188" ht="16.5" customHeight="1">
      <x:c r="K188"/>
      <x:c r="L188"/>
      <x:c r="M188"/>
      <x:c r="N188"/>
      <x:c r="O188"/>
      <x:c r="P188"/>
      <x:c r="AA188" s="46" t="str">
        <x:f>YEAR('Monthly totals'!A160)&amp;"-"&amp;IF(MONTH('Monthly totals'!A160)&lt;10,"0","")&amp;MONTH('Monthly totals'!A160)</x:f>
        <x:v>1937-03</x:v>
      </x:c>
      <x:c r="AB188" s="44" t="n">
        <x:f>'Monthly totals'!B160</x:f>
        <x:v>981</x:v>
      </x:c>
      <x:c r="AC188" s="44" t="n">
        <x:f>'Monthly totals'!C160</x:f>
        <x:v>851</x:v>
      </x:c>
      <x:c r="AD188" s="44" t="n">
        <x:f>'Monthly totals'!D160</x:f>
        <x:v>130</x:v>
      </x:c>
      <x:c r="AE188" s="44" t="n">
        <x:f>MAX(AD188,0)</x:f>
        <x:v>130</x:v>
      </x:c>
      <x:c r="AF188" s="44" t="n">
        <x:f>MIN(AD188,0)</x:f>
        <x:v>0</x:v>
      </x:c>
      <x:c r="AI188" s="36" t="str">
        <x:f>AA181</x:f>
        <x:v>1936-08</x:v>
      </x:c>
      <x:c r="AJ188" s="68" t="n">
        <x:f>'Monthly totals'!I153</x:f>
        <x:v>40.93636042818492</x:v>
      </x:c>
      <x:c r="AK188" s="68" t="n">
        <x:f>'Monthly totals'!J153</x:f>
        <x:v>35.22273317300436</x:v>
      </x:c>
    </x:row>
    <x:row r="189" ht="16.5" customHeight="1">
      <x:c r="K189"/>
      <x:c r="L189"/>
      <x:c r="M189"/>
      <x:c r="N189"/>
      <x:c r="O189"/>
      <x:c r="P189"/>
      <x:c r="AA189" s="46" t="str">
        <x:f>YEAR('Monthly totals'!A161)&amp;"-"&amp;IF(MONTH('Monthly totals'!A161)&lt;10,"0","")&amp;MONTH('Monthly totals'!A161)</x:f>
        <x:v>1937-04</x:v>
      </x:c>
      <x:c r="AB189" s="44" t="n">
        <x:f>'Monthly totals'!B161</x:f>
        <x:v>952</x:v>
      </x:c>
      <x:c r="AC189" s="44" t="n">
        <x:f>'Monthly totals'!C161</x:f>
        <x:v>1021</x:v>
      </x:c>
      <x:c r="AD189" s="44" t="n">
        <x:f>'Monthly totals'!D161</x:f>
        <x:v>-69</x:v>
      </x:c>
      <x:c r="AE189" s="44" t="n">
        <x:f>MAX(AD189,0)</x:f>
        <x:v>0</x:v>
      </x:c>
      <x:c r="AF189" s="44" t="n">
        <x:f>MIN(AD189,0)</x:f>
        <x:v>-69</x:v>
      </x:c>
      <x:c r="AI189" s="36" t="str">
        <x:f>AA182</x:f>
        <x:v>1936-09</x:v>
      </x:c>
      <x:c r="AJ189" s="68" t="n">
        <x:f>'Monthly totals'!I154</x:f>
        <x:v>41.62451476296906</x:v>
      </x:c>
      <x:c r="AK189" s="68" t="n">
        <x:f>'Monthly totals'!J154</x:f>
        <x:v>36.84078125157227</x:v>
      </x:c>
    </x:row>
    <x:row r="190" ht="16.5" customHeight="1">
      <x:c r="K190"/>
      <x:c r="L190"/>
      <x:c r="M190"/>
      <x:c r="N190"/>
      <x:c r="O190"/>
      <x:c r="P190"/>
      <x:c r="AA190" s="46" t="str">
        <x:f>YEAR('Monthly totals'!A162)&amp;"-"&amp;IF(MONTH('Monthly totals'!A162)&lt;10,"0","")&amp;MONTH('Monthly totals'!A162)</x:f>
        <x:v>1937-05</x:v>
      </x:c>
      <x:c r="AB190" s="44" t="n">
        <x:f>'Monthly totals'!B162</x:f>
        <x:v>1041</x:v>
      </x:c>
      <x:c r="AC190" s="44" t="n">
        <x:f>'Monthly totals'!C162</x:f>
        <x:v>977</x:v>
      </x:c>
      <x:c r="AD190" s="44" t="n">
        <x:f>'Monthly totals'!D162</x:f>
        <x:v>64</x:v>
      </x:c>
      <x:c r="AE190" s="44" t="n">
        <x:f>MAX(AD190,0)</x:f>
        <x:v>64</x:v>
      </x:c>
      <x:c r="AF190" s="44" t="n">
        <x:f>MIN(AD190,0)</x:f>
        <x:v>0</x:v>
      </x:c>
      <x:c r="AI190" s="36" t="str">
        <x:f>AA183</x:f>
        <x:v>1936-10</x:v>
      </x:c>
      <x:c r="AJ190" s="68" t="n">
        <x:f>'Monthly totals'!I155</x:f>
        <x:v>45.165274673567815</x:v>
      </x:c>
      <x:c r="AK190" s="68" t="n">
        <x:f>'Monthly totals'!J155</x:f>
        <x:v>47.672043389448476</x:v>
      </x:c>
    </x:row>
    <x:row r="191" ht="16.5" customHeight="1">
      <x:c r="K191"/>
      <x:c r="L191"/>
      <x:c r="M191"/>
      <x:c r="N191"/>
      <x:c r="O191"/>
      <x:c r="P191"/>
      <x:c r="AA191" s="46" t="str">
        <x:f>YEAR('Monthly totals'!A163)&amp;"-"&amp;IF(MONTH('Monthly totals'!A163)&lt;10,"0","")&amp;MONTH('Monthly totals'!A163)</x:f>
        <x:v>1937-06</x:v>
      </x:c>
      <x:c r="AB191" s="44" t="n">
        <x:f>'Monthly totals'!B163</x:f>
        <x:v>980</x:v>
      </x:c>
      <x:c r="AC191" s="44" t="n">
        <x:f>'Monthly totals'!C163</x:f>
        <x:v>976</x:v>
      </x:c>
      <x:c r="AD191" s="44" t="n">
        <x:f>'Monthly totals'!D163</x:f>
        <x:v>4</x:v>
      </x:c>
      <x:c r="AE191" s="44" t="n">
        <x:f>MAX(AD191,0)</x:f>
        <x:v>4</x:v>
      </x:c>
      <x:c r="AF191" s="44" t="n">
        <x:f>MIN(AD191,0)</x:f>
        <x:v>0</x:v>
      </x:c>
      <x:c r="AI191" s="36" t="str">
        <x:f>AA184</x:f>
        <x:v>1936-11</x:v>
      </x:c>
      <x:c r="AJ191" s="68" t="n">
        <x:f>'Monthly totals'!I156</x:f>
        <x:v>50.74697094459475</x:v>
      </x:c>
      <x:c r="AK191" s="68" t="n">
        <x:f>'Monthly totals'!J156</x:f>
        <x:v>52.514112639491245</x:v>
      </x:c>
    </x:row>
    <x:row r="192" ht="16.5" customHeight="1">
      <x:c r="K192"/>
      <x:c r="L192"/>
      <x:c r="M192"/>
      <x:c r="N192"/>
      <x:c r="O192"/>
      <x:c r="P192"/>
      <x:c r="AA192" s="46" t="str">
        <x:f>YEAR('Monthly totals'!A164)&amp;"-"&amp;IF(MONTH('Monthly totals'!A164)&lt;10,"0","")&amp;MONTH('Monthly totals'!A164)</x:f>
        <x:v>1937-07</x:v>
      </x:c>
      <x:c r="AB192" s="44" t="n">
        <x:f>'Monthly totals'!B164</x:f>
        <x:v>874</x:v>
      </x:c>
      <x:c r="AC192" s="44" t="n">
        <x:f>'Monthly totals'!C164</x:f>
        <x:v>832</x:v>
      </x:c>
      <x:c r="AD192" s="44" t="n">
        <x:f>'Monthly totals'!D164</x:f>
        <x:v>42</x:v>
      </x:c>
      <x:c r="AE192" s="44" t="n">
        <x:f>MAX(AD192,0)</x:f>
        <x:v>42</x:v>
      </x:c>
      <x:c r="AF192" s="44" t="n">
        <x:f>MIN(AD192,0)</x:f>
        <x:v>0</x:v>
      </x:c>
      <x:c r="AI192" s="36" t="str">
        <x:f>AA185</x:f>
        <x:v>1936-12</x:v>
      </x:c>
      <x:c r="AJ192" s="68" t="n">
        <x:f>'Monthly totals'!I157</x:f>
        <x:v>53.33490177626162</x:v>
      </x:c>
      <x:c r="AK192" s="68" t="n">
        <x:f>'Monthly totals'!J157</x:f>
        <x:v>61.310739693496615</x:v>
      </x:c>
    </x:row>
    <x:row r="193" ht="16.5" customHeight="1">
      <x:c r="K193"/>
      <x:c r="L193"/>
      <x:c r="M193"/>
      <x:c r="N193"/>
      <x:c r="O193"/>
      <x:c r="P193"/>
      <x:c r="AA193" s="46" t="str">
        <x:f>YEAR('Monthly totals'!A165)&amp;"-"&amp;IF(MONTH('Monthly totals'!A165)&lt;10,"0","")&amp;MONTH('Monthly totals'!A165)</x:f>
        <x:v>1937-08</x:v>
      </x:c>
      <x:c r="AB193" s="44" t="n">
        <x:f>'Monthly totals'!B165</x:f>
        <x:v>1145</x:v>
      </x:c>
      <x:c r="AC193" s="44" t="n">
        <x:f>'Monthly totals'!C165</x:f>
        <x:v>931</x:v>
      </x:c>
      <x:c r="AD193" s="44" t="n">
        <x:f>'Monthly totals'!D165</x:f>
        <x:v>214</x:v>
      </x:c>
      <x:c r="AE193" s="44" t="n">
        <x:f>MAX(AD193,0)</x:f>
        <x:v>214</x:v>
      </x:c>
      <x:c r="AF193" s="44" t="n">
        <x:f>MIN(AD193,0)</x:f>
        <x:v>0</x:v>
      </x:c>
      <x:c r="AI193" s="36" t="str">
        <x:f>AA186</x:f>
        <x:v>1937-01</x:v>
      </x:c>
      <x:c r="AJ193" s="68" t="n">
        <x:f>'Monthly totals'!I158</x:f>
        <x:v>38.23079637689683</x:v>
      </x:c>
      <x:c r="AK193" s="68" t="n">
        <x:f>'Monthly totals'!J158</x:f>
        <x:v>42.26244981334085</x:v>
      </x:c>
    </x:row>
    <x:row r="194" ht="16.5" customHeight="1">
      <x:c r="K194"/>
      <x:c r="L194"/>
      <x:c r="M194"/>
      <x:c r="N194"/>
      <x:c r="O194"/>
      <x:c r="P194"/>
      <x:c r="AA194" s="46" t="str">
        <x:f>YEAR('Monthly totals'!A166)&amp;"-"&amp;IF(MONTH('Monthly totals'!A166)&lt;10,"0","")&amp;MONTH('Monthly totals'!A166)</x:f>
        <x:v>1937-09</x:v>
      </x:c>
      <x:c r="AB194" s="44" t="n">
        <x:f>'Monthly totals'!B166</x:f>
        <x:v>1100</x:v>
      </x:c>
      <x:c r="AC194" s="44" t="n">
        <x:f>'Monthly totals'!C166</x:f>
        <x:v>879</x:v>
      </x:c>
      <x:c r="AD194" s="44" t="n">
        <x:f>'Monthly totals'!D166</x:f>
        <x:v>221</x:v>
      </x:c>
      <x:c r="AE194" s="44" t="n">
        <x:f>MAX(AD194,0)</x:f>
        <x:v>221</x:v>
      </x:c>
      <x:c r="AF194" s="44" t="n">
        <x:f>MIN(AD194,0)</x:f>
        <x:v>0</x:v>
      </x:c>
      <x:c r="AI194" s="36" t="str">
        <x:f>AA187</x:f>
        <x:v>1937-02</x:v>
      </x:c>
      <x:c r="AJ194" s="68" t="n">
        <x:f>'Monthly totals'!I159</x:f>
        <x:v>51.58216680390542</x:v>
      </x:c>
      <x:c r="AK194" s="68" t="n">
        <x:f>'Monthly totals'!J159</x:f>
        <x:v>47.2131939343322</x:v>
      </x:c>
    </x:row>
    <x:row r="195" ht="16.5" customHeight="1">
      <x:c r="K195"/>
      <x:c r="L195"/>
      <x:c r="M195"/>
      <x:c r="N195"/>
      <x:c r="O195"/>
      <x:c r="P195"/>
      <x:c r="AA195" s="46" t="str">
        <x:f>YEAR('Monthly totals'!A167)&amp;"-"&amp;IF(MONTH('Monthly totals'!A167)&lt;10,"0","")&amp;MONTH('Monthly totals'!A167)</x:f>
        <x:v>1937-10</x:v>
      </x:c>
      <x:c r="AB195" s="44" t="n">
        <x:f>'Monthly totals'!B167</x:f>
        <x:v>1125</x:v>
      </x:c>
      <x:c r="AC195" s="44" t="n">
        <x:f>'Monthly totals'!C167</x:f>
        <x:v>960</x:v>
      </x:c>
      <x:c r="AD195" s="44" t="n">
        <x:f>'Monthly totals'!D167</x:f>
        <x:v>165</x:v>
      </x:c>
      <x:c r="AE195" s="44" t="n">
        <x:f>MAX(AD195,0)</x:f>
        <x:v>165</x:v>
      </x:c>
      <x:c r="AF195" s="44" t="n">
        <x:f>MIN(AD195,0)</x:f>
        <x:v>0</x:v>
      </x:c>
      <x:c r="AI195" s="36" t="str">
        <x:f>AA188</x:f>
        <x:v>1937-03</x:v>
      </x:c>
      <x:c r="AJ195" s="68" t="n">
        <x:f>'Monthly totals'!I160</x:f>
        <x:v>57.69909422420891</x:v>
      </x:c>
      <x:c r="AK195" s="68" t="n">
        <x:f>'Monthly totals'!J160</x:f>
        <x:v>51.37906398736152</x:v>
      </x:c>
    </x:row>
    <x:row r="196" ht="16.5" customHeight="1">
      <x:c r="K196"/>
      <x:c r="L196"/>
      <x:c r="M196"/>
      <x:c r="N196"/>
      <x:c r="O196"/>
      <x:c r="P196"/>
      <x:c r="AA196" s="46" t="str">
        <x:f>YEAR('Monthly totals'!A168)&amp;"-"&amp;IF(MONTH('Monthly totals'!A168)&lt;10,"0","")&amp;MONTH('Monthly totals'!A168)</x:f>
        <x:v>1937-11</x:v>
      </x:c>
      <x:c r="AB196" s="44" t="n">
        <x:f>'Monthly totals'!B168</x:f>
        <x:v>1047</x:v>
      </x:c>
      <x:c r="AC196" s="44" t="n">
        <x:f>'Monthly totals'!C168</x:f>
        <x:v>985</x:v>
      </x:c>
      <x:c r="AD196" s="44" t="n">
        <x:f>'Monthly totals'!D168</x:f>
        <x:v>62</x:v>
      </x:c>
      <x:c r="AE196" s="44" t="n">
        <x:f>MAX(AD196,0)</x:f>
        <x:v>62</x:v>
      </x:c>
      <x:c r="AF196" s="44" t="n">
        <x:f>MIN(AD196,0)</x:f>
        <x:v>0</x:v>
      </x:c>
      <x:c r="AI196" s="36" t="str">
        <x:f>AA189</x:f>
        <x:v>1937-04</x:v>
      </x:c>
      <x:c r="AJ196" s="68" t="n">
        <x:f>'Monthly totals'!I161</x:f>
        <x:v>55.99341253970121</x:v>
      </x:c>
      <x:c r="AK196" s="68" t="n">
        <x:f>'Monthly totals'!J161</x:f>
        <x:v>61.642801799172865</x:v>
      </x:c>
    </x:row>
    <x:row r="197" ht="16.5" customHeight="1">
      <x:c r="K197"/>
      <x:c r="L197"/>
      <x:c r="M197"/>
      <x:c r="N197"/>
      <x:c r="O197"/>
      <x:c r="P197"/>
      <x:c r="AA197" s="46" t="str">
        <x:f>YEAR('Monthly totals'!A169)&amp;"-"&amp;IF(MONTH('Monthly totals'!A169)&lt;10,"0","")&amp;MONTH('Monthly totals'!A169)</x:f>
        <x:v>1937-12</x:v>
      </x:c>
      <x:c r="AB197" s="44" t="n">
        <x:f>'Monthly totals'!B169</x:f>
        <x:v>1200</x:v>
      </x:c>
      <x:c r="AC197" s="44" t="n">
        <x:f>'Monthly totals'!C169</x:f>
        <x:v>1072</x:v>
      </x:c>
      <x:c r="AD197" s="44" t="n">
        <x:f>'Monthly totals'!D169</x:f>
        <x:v>128</x:v>
      </x:c>
      <x:c r="AE197" s="44" t="n">
        <x:f>MAX(AD197,0)</x:f>
        <x:v>128</x:v>
      </x:c>
      <x:c r="AF197" s="44" t="n">
        <x:f>MIN(AD197,0)</x:f>
        <x:v>0</x:v>
      </x:c>
      <x:c r="AI197" s="36" t="str">
        <x:f>AA190</x:f>
        <x:v>1937-05</x:v>
      </x:c>
      <x:c r="AJ197" s="68" t="n">
        <x:f>'Monthly totals'!I162</x:f>
        <x:v>61.228090812845544</x:v>
      </x:c>
      <x:c r="AK197" s="68" t="n">
        <x:f>'Monthly totals'!J162</x:f>
        <x:v>58.98630495376287</x:v>
      </x:c>
    </x:row>
    <x:row r="198" ht="16.5" customHeight="1">
      <x:c r="K198"/>
      <x:c r="L198"/>
      <x:c r="M198"/>
      <x:c r="N198"/>
      <x:c r="O198"/>
      <x:c r="P198"/>
      <x:c r="AA198" s="46" t="str">
        <x:f>YEAR('Monthly totals'!A170)&amp;"-"&amp;IF(MONTH('Monthly totals'!A170)&lt;10,"0","")&amp;MONTH('Monthly totals'!A170)</x:f>
        <x:v>1938-01</x:v>
      </x:c>
      <x:c r="AB198" s="44" t="n">
        <x:f>'Monthly totals'!B170</x:f>
        <x:v>939</x:v>
      </x:c>
      <x:c r="AC198" s="44" t="n">
        <x:f>'Monthly totals'!C170</x:f>
        <x:v>668</x:v>
      </x:c>
      <x:c r="AD198" s="44" t="n">
        <x:f>'Monthly totals'!D170</x:f>
        <x:v>271</x:v>
      </x:c>
      <x:c r="AE198" s="44" t="n">
        <x:f>MAX(AD198,0)</x:f>
        <x:v>271</x:v>
      </x:c>
      <x:c r="AF198" s="44" t="n">
        <x:f>MIN(AD198,0)</x:f>
        <x:v>0</x:v>
      </x:c>
      <x:c r="AI198" s="36" t="str">
        <x:f>AA191</x:f>
        <x:v>1937-06</x:v>
      </x:c>
      <x:c r="AJ198" s="68" t="n">
        <x:f>'Monthly totals'!I163</x:f>
        <x:v>57.64027761439831</x:v>
      </x:c>
      <x:c r="AK198" s="68" t="n">
        <x:f>'Monthly totals'!J163</x:f>
        <x:v>58.925930025458094</x:v>
      </x:c>
    </x:row>
    <x:row r="199" ht="16.5" customHeight="1">
      <x:c r="K199"/>
      <x:c r="L199"/>
      <x:c r="M199"/>
      <x:c r="N199"/>
      <x:c r="O199"/>
      <x:c r="P199"/>
      <x:c r="AA199" s="46" t="str">
        <x:f>YEAR('Monthly totals'!A171)&amp;"-"&amp;IF(MONTH('Monthly totals'!A171)&lt;10,"0","")&amp;MONTH('Monthly totals'!A171)</x:f>
        <x:v>1938-02</x:v>
      </x:c>
      <x:c r="AB199" s="44" t="n">
        <x:f>'Monthly totals'!B171</x:f>
        <x:v>912</x:v>
      </x:c>
      <x:c r="AC199" s="44" t="n">
        <x:f>'Monthly totals'!C171</x:f>
        <x:v>757</x:v>
      </x:c>
      <x:c r="AD199" s="44" t="n">
        <x:f>'Monthly totals'!D171</x:f>
        <x:v>155</x:v>
      </x:c>
      <x:c r="AE199" s="44" t="n">
        <x:f>MAX(AD199,0)</x:f>
        <x:v>155</x:v>
      </x:c>
      <x:c r="AF199" s="44" t="n">
        <x:f>MIN(AD199,0)</x:f>
        <x:v>0</x:v>
      </x:c>
      <x:c r="AI199" s="36" t="str">
        <x:f>AA192</x:f>
        <x:v>1937-07</x:v>
      </x:c>
      <x:c r="AJ199" s="68" t="n">
        <x:f>'Monthly totals'!I164</x:f>
        <x:v>51.40571697447359</x:v>
      </x:c>
      <x:c r="AK199" s="68" t="n">
        <x:f>'Monthly totals'!J164</x:f>
        <x:v>50.231940349570834</x:v>
      </x:c>
    </x:row>
    <x:row r="200" ht="16.5" customHeight="1">
      <x:c r="K200"/>
      <x:c r="L200"/>
      <x:c r="M200"/>
      <x:c r="N200"/>
      <x:c r="O200"/>
      <x:c r="P200"/>
      <x:c r="AA200" s="46" t="str">
        <x:f>YEAR('Monthly totals'!A172)&amp;"-"&amp;IF(MONTH('Monthly totals'!A172)&lt;10,"0","")&amp;MONTH('Monthly totals'!A172)</x:f>
        <x:v>1938-03</x:v>
      </x:c>
      <x:c r="AB200" s="44" t="n">
        <x:f>'Monthly totals'!B172</x:f>
        <x:v>1018</x:v>
      </x:c>
      <x:c r="AC200" s="44" t="n">
        <x:f>'Monthly totals'!C172</x:f>
        <x:v>792</x:v>
      </x:c>
      <x:c r="AD200" s="44" t="n">
        <x:f>'Monthly totals'!D172</x:f>
        <x:v>226</x:v>
      </x:c>
      <x:c r="AE200" s="44" t="n">
        <x:f>MAX(AD200,0)</x:f>
        <x:v>226</x:v>
      </x:c>
      <x:c r="AF200" s="44" t="n">
        <x:f>MIN(AD200,0)</x:f>
        <x:v>0</x:v>
      </x:c>
      <x:c r="AI200" s="36" t="str">
        <x:f>AA193</x:f>
        <x:v>1937-08</x:v>
      </x:c>
      <x:c r="AJ200" s="68" t="n">
        <x:f>'Monthly totals'!I165</x:f>
        <x:v>67.34501823314903</x:v>
      </x:c>
      <x:c r="AK200" s="68" t="n">
        <x:f>'Monthly totals'!J165</x:f>
        <x:v>56.20905825174333</x:v>
      </x:c>
    </x:row>
    <x:row r="201" ht="16.5" customHeight="1">
      <x:c r="K201"/>
      <x:c r="L201"/>
      <x:c r="M201"/>
      <x:c r="N201"/>
      <x:c r="O201"/>
      <x:c r="P201"/>
      <x:c r="AA201" s="46" t="str">
        <x:f>YEAR('Monthly totals'!A173)&amp;"-"&amp;IF(MONTH('Monthly totals'!A173)&lt;10,"0","")&amp;MONTH('Monthly totals'!A173)</x:f>
        <x:v>1938-04</x:v>
      </x:c>
      <x:c r="AB201" s="44" t="n">
        <x:f>'Monthly totals'!B173</x:f>
        <x:v>932</x:v>
      </x:c>
      <x:c r="AC201" s="44" t="n">
        <x:f>'Monthly totals'!C173</x:f>
        <x:v>820</x:v>
      </x:c>
      <x:c r="AD201" s="44" t="n">
        <x:f>'Monthly totals'!D173</x:f>
        <x:v>112</x:v>
      </x:c>
      <x:c r="AE201" s="44" t="n">
        <x:f>MAX(AD201,0)</x:f>
        <x:v>112</x:v>
      </x:c>
      <x:c r="AF201" s="44" t="n">
        <x:f>MIN(AD201,0)</x:f>
        <x:v>0</x:v>
      </x:c>
      <x:c r="AI201" s="36" t="str">
        <x:f>AA194</x:f>
        <x:v>1937-09</x:v>
      </x:c>
      <x:c r="AJ201" s="68" t="n">
        <x:f>'Monthly totals'!I166</x:f>
        <x:v>64.69827079167156</x:v>
      </x:c>
      <x:c r="AK201" s="68" t="n">
        <x:f>'Monthly totals'!J166</x:f>
        <x:v>53.06956197989515</x:v>
      </x:c>
    </x:row>
    <x:row r="202" ht="16.5" customHeight="1">
      <x:c r="K202"/>
      <x:c r="L202"/>
      <x:c r="M202"/>
      <x:c r="N202"/>
      <x:c r="O202"/>
      <x:c r="P202"/>
      <x:c r="AA202" s="46" t="str">
        <x:f>YEAR('Monthly totals'!A174)&amp;"-"&amp;IF(MONTH('Monthly totals'!A174)&lt;10,"0","")&amp;MONTH('Monthly totals'!A174)</x:f>
        <x:v>1938-05</x:v>
      </x:c>
      <x:c r="AB202" s="44" t="n">
        <x:f>'Monthly totals'!B174</x:f>
        <x:v>994</x:v>
      </x:c>
      <x:c r="AC202" s="44" t="n">
        <x:f>'Monthly totals'!C174</x:f>
        <x:v>828</x:v>
      </x:c>
      <x:c r="AD202" s="44" t="n">
        <x:f>'Monthly totals'!D174</x:f>
        <x:v>166</x:v>
      </x:c>
      <x:c r="AE202" s="44" t="n">
        <x:f>MAX(AD202,0)</x:f>
        <x:v>166</x:v>
      </x:c>
      <x:c r="AF202" s="44" t="n">
        <x:f>MIN(AD202,0)</x:f>
        <x:v>0</x:v>
      </x:c>
      <x:c r="AI202" s="36" t="str">
        <x:f>AA195</x:f>
        <x:v>1937-10</x:v>
      </x:c>
      <x:c r="AJ202" s="68" t="n">
        <x:f>'Monthly totals'!I167</x:f>
        <x:v>66.16868603693683</x:v>
      </x:c>
      <x:c r="AK202" s="68" t="n">
        <x:f>'Monthly totals'!J167</x:f>
        <x:v>57.95993117258173</x:v>
      </x:c>
    </x:row>
    <x:row r="203" ht="16.5" customHeight="1">
      <x:c r="K203"/>
      <x:c r="L203"/>
      <x:c r="M203"/>
      <x:c r="N203"/>
      <x:c r="O203"/>
      <x:c r="P203"/>
      <x:c r="AA203" s="46" t="str">
        <x:f>YEAR('Monthly totals'!A175)&amp;"-"&amp;IF(MONTH('Monthly totals'!A175)&lt;10,"0","")&amp;MONTH('Monthly totals'!A175)</x:f>
        <x:v>1938-06</x:v>
      </x:c>
      <x:c r="AB203" s="44" t="n">
        <x:f>'Monthly totals'!B175</x:f>
        <x:v>865</x:v>
      </x:c>
      <x:c r="AC203" s="44" t="n">
        <x:f>'Monthly totals'!C175</x:f>
        <x:v>786</x:v>
      </x:c>
      <x:c r="AD203" s="44" t="n">
        <x:f>'Monthly totals'!D175</x:f>
        <x:v>79</x:v>
      </x:c>
      <x:c r="AE203" s="44" t="n">
        <x:f>MAX(AD203,0)</x:f>
        <x:v>79</x:v>
      </x:c>
      <x:c r="AF203" s="44" t="n">
        <x:f>MIN(AD203,0)</x:f>
        <x:v>0</x:v>
      </x:c>
      <x:c r="AI203" s="36" t="str">
        <x:f>AA196</x:f>
        <x:v>1937-11</x:v>
      </x:c>
      <x:c r="AJ203" s="68" t="n">
        <x:f>'Monthly totals'!I168</x:f>
        <x:v>61.58099047170921</x:v>
      </x:c>
      <x:c r="AK203" s="68" t="n">
        <x:f>'Monthly totals'!J168</x:f>
        <x:v>59.46930438020105</x:v>
      </x:c>
    </x:row>
    <x:row r="204" ht="16.5" customHeight="1">
      <x:c r="K204"/>
      <x:c r="L204"/>
      <x:c r="M204"/>
      <x:c r="N204"/>
      <x:c r="O204"/>
      <x:c r="P204"/>
      <x:c r="AA204" s="46" t="str">
        <x:f>YEAR('Monthly totals'!A176)&amp;"-"&amp;IF(MONTH('Monthly totals'!A176)&lt;10,"0","")&amp;MONTH('Monthly totals'!A176)</x:f>
        <x:v>1938-07</x:v>
      </x:c>
      <x:c r="AB204" s="44" t="n">
        <x:f>'Monthly totals'!B176</x:f>
        <x:v>912</x:v>
      </x:c>
      <x:c r="AC204" s="44" t="n">
        <x:f>'Monthly totals'!C176</x:f>
        <x:v>761</x:v>
      </x:c>
      <x:c r="AD204" s="44" t="n">
        <x:f>'Monthly totals'!D176</x:f>
        <x:v>151</x:v>
      </x:c>
      <x:c r="AE204" s="44" t="n">
        <x:f>MAX(AD204,0)</x:f>
        <x:v>151</x:v>
      </x:c>
      <x:c r="AF204" s="44" t="n">
        <x:f>MIN(AD204,0)</x:f>
        <x:v>0</x:v>
      </x:c>
      <x:c r="AI204" s="36" t="str">
        <x:f>AA197</x:f>
        <x:v>1937-12</x:v>
      </x:c>
      <x:c r="AJ204" s="68" t="n">
        <x:f>'Monthly totals'!I169</x:f>
        <x:v>70.57993177273262</x:v>
      </x:c>
      <x:c r="AK204" s="68" t="n">
        <x:f>'Monthly totals'!J169</x:f>
        <x:v>64.72192314271626</x:v>
      </x:c>
    </x:row>
    <x:row r="205" ht="16.5" customHeight="1">
      <x:c r="K205"/>
      <x:c r="L205"/>
      <x:c r="M205"/>
      <x:c r="N205"/>
      <x:c r="O205"/>
      <x:c r="P205"/>
      <x:c r="AA205" s="46" t="str">
        <x:f>YEAR('Monthly totals'!A177)&amp;"-"&amp;IF(MONTH('Monthly totals'!A177)&lt;10,"0","")&amp;MONTH('Monthly totals'!A177)</x:f>
        <x:v>1938-08</x:v>
      </x:c>
      <x:c r="AB205" s="44" t="n">
        <x:f>'Monthly totals'!B177</x:f>
        <x:v>965</x:v>
      </x:c>
      <x:c r="AC205" s="44" t="n">
        <x:f>'Monthly totals'!C177</x:f>
        <x:v>790</x:v>
      </x:c>
      <x:c r="AD205" s="44" t="n">
        <x:f>'Monthly totals'!D177</x:f>
        <x:v>175</x:v>
      </x:c>
      <x:c r="AE205" s="44" t="n">
        <x:f>MAX(AD205,0)</x:f>
        <x:v>175</x:v>
      </x:c>
      <x:c r="AF205" s="44" t="n">
        <x:f>MIN(AD205,0)</x:f>
        <x:v>0</x:v>
      </x:c>
      <x:c r="AI205" s="36" t="str">
        <x:f>AA198</x:f>
        <x:v>1938-01</x:v>
      </x:c>
      <x:c r="AJ205" s="68" t="n">
        <x:f>'Monthly totals'!I170</x:f>
        <x:v>55.22879661216327</x:v>
      </x:c>
      <x:c r="AK205" s="68" t="n">
        <x:f>'Monthly totals'!J170</x:f>
        <x:v>40.33045210758812</x:v>
      </x:c>
    </x:row>
    <x:row r="206" ht="16.5" customHeight="1">
      <x:c r="K206"/>
      <x:c r="L206"/>
      <x:c r="M206"/>
      <x:c r="N206"/>
      <x:c r="O206"/>
      <x:c r="P206"/>
      <x:c r="AA206" s="46" t="str">
        <x:f>YEAR('Monthly totals'!A178)&amp;"-"&amp;IF(MONTH('Monthly totals'!A178)&lt;10,"0","")&amp;MONTH('Monthly totals'!A178)</x:f>
        <x:v>1938-09</x:v>
      </x:c>
      <x:c r="AB206" s="44" t="n">
        <x:f>'Monthly totals'!B178</x:f>
        <x:v>939</x:v>
      </x:c>
      <x:c r="AC206" s="44" t="n">
        <x:f>'Monthly totals'!C178</x:f>
        <x:v>687</x:v>
      </x:c>
      <x:c r="AD206" s="44" t="n">
        <x:f>'Monthly totals'!D178</x:f>
        <x:v>252</x:v>
      </x:c>
      <x:c r="AE206" s="44" t="n">
        <x:f>MAX(AD206,0)</x:f>
        <x:v>252</x:v>
      </x:c>
      <x:c r="AF206" s="44" t="n">
        <x:f>MIN(AD206,0)</x:f>
        <x:v>0</x:v>
      </x:c>
      <x:c r="AI206" s="36" t="str">
        <x:f>AA199</x:f>
        <x:v>1938-02</x:v>
      </x:c>
      <x:c r="AJ206" s="68" t="n">
        <x:f>'Monthly totals'!I171</x:f>
        <x:v>53.64074814727679</x:v>
      </x:c>
      <x:c r="AK206" s="68" t="n">
        <x:f>'Monthly totals'!J171</x:f>
        <x:v>45.70382072671289</x:v>
      </x:c>
    </x:row>
    <x:row r="207" ht="16.5" customHeight="1">
      <x:c r="K207"/>
      <x:c r="L207"/>
      <x:c r="M207"/>
      <x:c r="N207"/>
      <x:c r="O207"/>
      <x:c r="P207"/>
      <x:c r="AA207" s="46" t="str">
        <x:f>YEAR('Monthly totals'!A179)&amp;"-"&amp;IF(MONTH('Monthly totals'!A179)&lt;10,"0","")&amp;MONTH('Monthly totals'!A179)</x:f>
        <x:v>1938-10</x:v>
      </x:c>
      <x:c r="AB207" s="44" t="n">
        <x:f>'Monthly totals'!B179</x:f>
        <x:v>213</x:v>
      </x:c>
      <x:c r="AC207" s="44" t="n">
        <x:f>'Monthly totals'!C179</x:f>
        <x:v>114</x:v>
      </x:c>
      <x:c r="AD207" s="44" t="n">
        <x:f>'Monthly totals'!D179</x:f>
        <x:v>99</x:v>
      </x:c>
      <x:c r="AE207" s="44" t="n">
        <x:f>MAX(AD207,0)</x:f>
        <x:v>99</x:v>
      </x:c>
      <x:c r="AF207" s="44" t="n">
        <x:f>MIN(AD207,0)</x:f>
        <x:v>0</x:v>
      </x:c>
      <x:c r="AI207" s="36" t="str">
        <x:f>AA200</x:f>
        <x:v>1938-03</x:v>
      </x:c>
      <x:c r="AJ207" s="68" t="n">
        <x:f>'Monthly totals'!I172</x:f>
        <x:v>59.875308787201504</x:v>
      </x:c>
      <x:c r="AK207" s="68" t="n">
        <x:f>'Monthly totals'!J172</x:f>
        <x:v>47.81694321737993</x:v>
      </x:c>
    </x:row>
    <x:row r="208" ht="16.5" customHeight="1">
      <x:c r="K208"/>
      <x:c r="L208"/>
      <x:c r="M208"/>
      <x:c r="N208"/>
      <x:c r="O208"/>
      <x:c r="P208"/>
      <x:c r="AA208" s="46" t="str">
        <x:f>YEAR('Monthly totals'!A180)&amp;"-"&amp;IF(MONTH('Monthly totals'!A180)&lt;10,"0","")&amp;MONTH('Monthly totals'!A180)</x:f>
        <x:v>1938-11</x:v>
      </x:c>
      <x:c r="AB208" s="44" t="n">
        <x:f>'Monthly totals'!B180</x:f>
        <x:v>656</x:v>
      </x:c>
      <x:c r="AC208" s="44" t="n">
        <x:f>'Monthly totals'!C180</x:f>
        <x:v>516</x:v>
      </x:c>
      <x:c r="AD208" s="44" t="n">
        <x:f>'Monthly totals'!D180</x:f>
        <x:v>140</x:v>
      </x:c>
      <x:c r="AE208" s="44" t="n">
        <x:f>MAX(AD208,0)</x:f>
        <x:v>140</x:v>
      </x:c>
      <x:c r="AF208" s="44" t="n">
        <x:f>MIN(AD208,0)</x:f>
        <x:v>0</x:v>
      </x:c>
      <x:c r="AI208" s="36" t="str">
        <x:f>AA201</x:f>
        <x:v>1938-04</x:v>
      </x:c>
      <x:c r="AJ208" s="68" t="n">
        <x:f>'Monthly totals'!I173</x:f>
        <x:v>54.817080343489</x:v>
      </x:c>
      <x:c r="AK208" s="68" t="n">
        <x:f>'Monthly totals'!J173</x:f>
        <x:v>49.507441209913566</x:v>
      </x:c>
    </x:row>
    <x:row r="209" ht="16.5" customHeight="1">
      <x:c r="K209"/>
      <x:c r="L209"/>
      <x:c r="M209"/>
      <x:c r="N209"/>
      <x:c r="O209"/>
      <x:c r="P209"/>
      <x:c r="AA209" s="46" t="str">
        <x:f>YEAR('Monthly totals'!A181)&amp;"-"&amp;IF(MONTH('Monthly totals'!A181)&lt;10,"0","")&amp;MONTH('Monthly totals'!A181)</x:f>
        <x:v>1938-12</x:v>
      </x:c>
      <x:c r="AB209" s="44" t="n">
        <x:f>'Monthly totals'!B181</x:f>
        <x:v>851</x:v>
      </x:c>
      <x:c r="AC209" s="44" t="n">
        <x:f>'Monthly totals'!C181</x:f>
        <x:v>871</x:v>
      </x:c>
      <x:c r="AD209" s="44" t="n">
        <x:f>'Monthly totals'!D181</x:f>
        <x:v>-20</x:v>
      </x:c>
      <x:c r="AE209" s="44" t="n">
        <x:f>MAX(AD209,0)</x:f>
        <x:v>0</x:v>
      </x:c>
      <x:c r="AF209" s="44" t="n">
        <x:f>MIN(AD209,0)</x:f>
        <x:v>-20</x:v>
      </x:c>
      <x:c r="AI209" s="36" t="str">
        <x:f>AA202</x:f>
        <x:v>1938-05</x:v>
      </x:c>
      <x:c r="AJ209" s="68" t="n">
        <x:f>'Monthly totals'!I174</x:f>
        <x:v>58.46371015174685</x:v>
      </x:c>
      <x:c r="AK209" s="68" t="n">
        <x:f>'Monthly totals'!J174</x:f>
        <x:v>49.99044063635175</x:v>
      </x:c>
    </x:row>
    <x:row r="210" ht="16.5" customHeight="1">
      <x:c r="K210"/>
      <x:c r="L210"/>
      <x:c r="M210"/>
      <x:c r="N210"/>
      <x:c r="O210"/>
      <x:c r="P210"/>
      <x:c r="AA210" s="36"/>
      <x:c r="AB210" s="36"/>
      <x:c r="AC210" s="36"/>
      <x:c r="AD210" s="36"/>
      <x:c r="AE210" s="36"/>
      <x:c r="AF210" s="36"/>
      <x:c r="AI210" s="36" t="str">
        <x:f>AA203</x:f>
        <x:v>1938-06</x:v>
      </x:c>
      <x:c r="AJ210" s="68" t="n">
        <x:f>'Monthly totals'!I175</x:f>
        <x:v>50.8763674861781</x:v>
      </x:c>
      <x:c r="AK210" s="68" t="n">
        <x:f>'Monthly totals'!J175</x:f>
        <x:v>47.454693647551295</x:v>
      </x:c>
    </x:row>
    <x:row r="211" ht="16.5" customHeight="1">
      <x:c r="K211"/>
      <x:c r="L211"/>
      <x:c r="M211"/>
      <x:c r="N211"/>
      <x:c r="O211"/>
      <x:c r="P211"/>
      <x:c r="AA211" s="36"/>
      <x:c r="AB211" s="36"/>
      <x:c r="AC211" s="36"/>
      <x:c r="AD211" s="36"/>
      <x:c r="AE211" s="36"/>
      <x:c r="AF211" s="36"/>
      <x:c r="AI211" s="36" t="str">
        <x:f>AA204</x:f>
        <x:v>1938-07</x:v>
      </x:c>
      <x:c r="AJ211" s="68" t="n">
        <x:f>'Monthly totals'!I176</x:f>
        <x:v>53.64074814727679</x:v>
      </x:c>
      <x:c r="AK211" s="68" t="n">
        <x:f>'Monthly totals'!J176</x:f>
        <x:v>45.945320439931976</x:v>
      </x:c>
    </x:row>
    <x:row r="212" ht="16.5" customHeight="1">
      <x:c r="K212"/>
      <x:c r="L212"/>
      <x:c r="M212"/>
      <x:c r="N212"/>
      <x:c r="O212"/>
      <x:c r="P212"/>
      <x:c r="AA212" s="36" t="str">
        <x:v>Partner balances for the selected year</x:v>
      </x:c>
      <x:c r="AB212" s="36"/>
      <x:c r="AC212" s="36"/>
      <x:c r="AD212" s="36"/>
      <x:c r="AE212" s="36"/>
      <x:c r="AF212" s="36"/>
      <x:c r="AI212" s="36" t="str">
        <x:f>AA205</x:f>
        <x:v>1938-08</x:v>
      </x:c>
      <x:c r="AJ212" s="68" t="n">
        <x:f>'Monthly totals'!I177</x:f>
        <x:v>56.75802846723915</x:v>
      </x:c>
      <x:c r="AK212" s="68" t="n">
        <x:f>'Monthly totals'!J177</x:f>
        <x:v>47.69619336077039</x:v>
      </x:c>
    </x:row>
    <x:row r="213" ht="16.5" customHeight="1">
      <x:c r="K213"/>
      <x:c r="L213"/>
      <x:c r="M213"/>
      <x:c r="N213"/>
      <x:c r="O213"/>
      <x:c r="P213"/>
      <x:c r="AA213" s="42" t="str">
        <x:v>Partner</x:v>
      </x:c>
      <x:c r="AB213" s="42" t="str">
        <x:v>Trade balance</x:v>
      </x:c>
      <x:c r="AC213" s="42" t="str">
        <x:v>Surplus</x:v>
      </x:c>
      <x:c r="AD213" s="42" t="str">
        <x:v>Deficit</x:v>
      </x:c>
      <x:c r="AE213" s="36"/>
      <x:c r="AF213" s="36"/>
      <x:c r="AI213" s="36" t="str">
        <x:f>AA206</x:f>
        <x:v>1938-09</x:v>
      </x:c>
      <x:c r="AJ213" s="68" t="n">
        <x:f>'Monthly totals'!I178</x:f>
        <x:v>55.22879661216327</x:v>
      </x:c>
      <x:c r="AK213" s="68" t="n">
        <x:f>'Monthly totals'!J178</x:f>
        <x:v>41.47757574537881</x:v>
      </x:c>
    </x:row>
    <x:row r="214" ht="16.5" customHeight="1">
      <x:c r="K214"/>
      <x:c r="L214"/>
      <x:c r="M214"/>
      <x:c r="N214"/>
      <x:c r="O214"/>
      <x:c r="P214"/>
      <x:c r="AA214" s="46" t="str">
        <x:v>Austria</x:v>
      </x:c>
      <x:c r="AB214" s="44" t="n">
        <x:f>SUMIFS('Annual partners'!$E$2:$E$286,'Annual partners'!$A$2:$A$286,$C$49,'Annual partners'!$B$2:$B$286,AA214)</x:f>
        <x:v>420.1</x:v>
      </x:c>
      <x:c r="AC214" s="44" t="n">
        <x:f>MAX(AB214,0)</x:f>
        <x:v>420.1</x:v>
      </x:c>
      <x:c r="AD214" s="44" t="n">
        <x:f>MIN(AB214,0)</x:f>
        <x:v>0</x:v>
      </x:c>
      <x:c r="AE214" s="36"/>
      <x:c r="AF214" s="36"/>
      <x:c r="AI214" s="36" t="str">
        <x:f>AA207</x:f>
        <x:v>1938-10</x:v>
      </x:c>
      <x:c r="AJ214" s="68" t="n">
        <x:f>'Monthly totals'!I179</x:f>
        <x:v>12.52793788966004</x:v>
      </x:c>
      <x:c r="AK214" s="68" t="n">
        <x:f>'Monthly totals'!J179</x:f>
        <x:v>6.882741826744081</x:v>
      </x:c>
    </x:row>
    <x:row r="215" ht="16.5" customHeight="1">
      <x:c r="K215"/>
      <x:c r="L215"/>
      <x:c r="M215"/>
      <x:c r="N215"/>
      <x:c r="O215"/>
      <x:c r="P215"/>
      <x:c r="AA215" s="46" t="str">
        <x:v>Belgium and Luxembourg</x:v>
      </x:c>
      <x:c r="AB215" s="44" t="n">
        <x:f>SUMIFS('Annual partners'!$E$2:$E$286,'Annual partners'!$A$2:$A$286,$C$49,'Annual partners'!$B$2:$B$286,AA215)</x:f>
        <x:v>-61.400000000000006</x:v>
      </x:c>
      <x:c r="AC215" s="44" t="n">
        <x:f>MAX(AB215,0)</x:f>
        <x:v>0</x:v>
      </x:c>
      <x:c r="AD215" s="44" t="n">
        <x:f>MIN(AB215,0)</x:f>
        <x:v>-61.400000000000006</x:v>
      </x:c>
      <x:c r="AE215" s="36"/>
      <x:c r="AF215" s="36"/>
      <x:c r="AI215" s="36" t="str">
        <x:f>AA208</x:f>
        <x:v>1938-11</x:v>
      </x:c>
      <x:c r="AJ215" s="68" t="n">
        <x:f>'Monthly totals'!I180</x:f>
        <x:v>38.5836960357605</x:v>
      </x:c>
      <x:c r="AK215" s="68" t="n">
        <x:f>'Monthly totals'!J180</x:f>
        <x:v>31.153463005262683</x:v>
      </x:c>
    </x:row>
    <x:row r="216" ht="16.5" customHeight="1">
      <x:c r="K216"/>
      <x:c r="L216"/>
      <x:c r="M216"/>
      <x:c r="N216"/>
      <x:c r="O216"/>
      <x:c r="P216"/>
      <x:c r="AA216" s="46" t="str">
        <x:v>France</x:v>
      </x:c>
      <x:c r="AB216" s="44" t="n">
        <x:f>SUMIFS('Annual partners'!$E$2:$E$286,'Annual partners'!$A$2:$A$286,$C$49,'Annual partners'!$B$2:$B$286,AA216)</x:f>
        <x:v>-120.10000000000002</x:v>
      </x:c>
      <x:c r="AC216" s="44" t="n">
        <x:f>MAX(AB216,0)</x:f>
        <x:v>0</x:v>
      </x:c>
      <x:c r="AD216" s="44" t="n">
        <x:f>MIN(AB216,0)</x:f>
        <x:v>-120.10000000000002</x:v>
      </x:c>
      <x:c r="AE216" s="36"/>
      <x:c r="AF216" s="36"/>
      <x:c r="AI216" s="36" t="str">
        <x:f>AA209</x:f>
        <x:v>1938-12</x:v>
      </x:c>
      <x:c r="AJ216" s="68" t="n">
        <x:f>'Monthly totals'!I181</x:f>
        <x:v>50.052934948829545</x:v>
      </x:c>
      <x:c r="AK216" s="68" t="n">
        <x:f>'Monthly totals'!J181</x:f>
        <x:v>52.58656255345697</x:v>
      </x:c>
    </x:row>
    <x:row r="217" ht="16.5" customHeight="1">
      <x:c r="K217"/>
      <x:c r="L217"/>
      <x:c r="M217"/>
      <x:c r="N217"/>
      <x:c r="O217"/>
      <x:c r="P217"/>
      <x:c r="AA217" s="46" t="str">
        <x:v>Germany</x:v>
      </x:c>
      <x:c r="AB217" s="44" t="n">
        <x:f>SUMIFS('Annual partners'!$E$2:$E$286,'Annual partners'!$A$2:$A$286,$C$49,'Annual partners'!$B$2:$B$286,AA217)</x:f>
        <x:v>-100.79999999999995</x:v>
      </x:c>
      <x:c r="AC217" s="44" t="n">
        <x:f>MAX(AB217,0)</x:f>
        <x:v>0</x:v>
      </x:c>
      <x:c r="AD217" s="44" t="n">
        <x:f>MIN(AB217,0)</x:f>
        <x:v>-100.79999999999995</x:v>
      </x:c>
      <x:c r="AE217" s="36"/>
      <x:c r="AF217" s="36"/>
    </x:row>
    <x:row r="218" ht="16.5" customHeight="1">
      <x:c r="K218"/>
      <x:c r="L218"/>
      <x:c r="M218"/>
      <x:c r="N218"/>
      <x:c r="O218"/>
      <x:c r="P218"/>
      <x:c r="AA218" s="46" t="str">
        <x:v>Hungary</x:v>
      </x:c>
      <x:c r="AB218" s="44" t="n">
        <x:f>SUMIFS('Annual partners'!$E$2:$E$286,'Annual partners'!$A$2:$A$286,$C$49,'Annual partners'!$B$2:$B$286,AA218)</x:f>
        <x:v>66.6</x:v>
      </x:c>
      <x:c r="AC218" s="44" t="n">
        <x:f>MAX(AB218,0)</x:f>
        <x:v>66.6</x:v>
      </x:c>
      <x:c r="AD218" s="44" t="n">
        <x:f>MIN(AB218,0)</x:f>
        <x:v>0</x:v>
      </x:c>
      <x:c r="AE218" s="36"/>
      <x:c r="AF218" s="36"/>
    </x:row>
    <x:row r="219" ht="16.5" customHeight="1">
      <x:c r="K219"/>
      <x:c r="L219"/>
      <x:c r="M219"/>
      <x:c r="N219"/>
      <x:c r="O219"/>
      <x:c r="P219"/>
      <x:c r="AA219" s="46" t="str">
        <x:v>Italy</x:v>
      </x:c>
      <x:c r="AB219" s="44" t="n">
        <x:f>SUMIFS('Annual partners'!$E$2:$E$286,'Annual partners'!$A$2:$A$286,$C$49,'Annual partners'!$B$2:$B$286,AA219)</x:f>
        <x:v>149.39999999999998</x:v>
      </x:c>
      <x:c r="AC219" s="44" t="n">
        <x:f>MAX(AB219,0)</x:f>
        <x:v>149.39999999999998</x:v>
      </x:c>
      <x:c r="AD219" s="44" t="n">
        <x:f>MIN(AB219,0)</x:f>
        <x:v>0</x:v>
      </x:c>
      <x:c r="AE219" s="36"/>
      <x:c r="AF219" s="36"/>
    </x:row>
    <x:row r="220" ht="16.5" customHeight="1">
      <x:c r="K220"/>
      <x:c r="L220"/>
      <x:c r="M220"/>
      <x:c r="N220"/>
      <x:c r="O220"/>
      <x:c r="P220"/>
      <x:c r="AA220" s="46" t="str">
        <x:v>Netherlands</x:v>
      </x:c>
      <x:c r="AB220" s="44" t="n">
        <x:f>SUMIFS('Annual partners'!$E$2:$E$286,'Annual partners'!$A$2:$A$286,$C$49,'Annual partners'!$B$2:$B$286,AA220)</x:f>
        <x:v>83.60000000000002</x:v>
      </x:c>
      <x:c r="AC220" s="44" t="n">
        <x:f>MAX(AB220,0)</x:f>
        <x:v>83.60000000000002</x:v>
      </x:c>
      <x:c r="AD220" s="44" t="n">
        <x:f>MIN(AB220,0)</x:f>
        <x:v>0</x:v>
      </x:c>
      <x:c r="AE220" s="36"/>
      <x:c r="AF220" s="36"/>
    </x:row>
    <x:row r="221" ht="16.5" customHeight="1">
      <x:c r="K221"/>
      <x:c r="L221"/>
      <x:c r="M221"/>
      <x:c r="N221"/>
      <x:c r="O221"/>
      <x:c r="P221"/>
      <x:c r="AA221" s="46" t="str">
        <x:v>Poland</x:v>
      </x:c>
      <x:c r="AB221" s="44" t="n">
        <x:f>SUMIFS('Annual partners'!$E$2:$E$286,'Annual partners'!$A$2:$A$286,$C$49,'Annual partners'!$B$2:$B$286,AA221)</x:f>
        <x:v>35.89999999999998</x:v>
      </x:c>
      <x:c r="AC221" s="44" t="n">
        <x:f>MAX(AB221,0)</x:f>
        <x:v>35.89999999999998</x:v>
      </x:c>
      <x:c r="AD221" s="44" t="n">
        <x:f>MIN(AB221,0)</x:f>
        <x:v>0</x:v>
      </x:c>
      <x:c r="AE221" s="36"/>
      <x:c r="AF221" s="36"/>
    </x:row>
    <x:row r="222" ht="16.5" customHeight="1">
      <x:c r="K222"/>
      <x:c r="L222"/>
      <x:c r="M222"/>
      <x:c r="N222"/>
      <x:c r="O222"/>
      <x:c r="P222"/>
      <x:c r="AA222" s="46" t="str">
        <x:v>Romania</x:v>
      </x:c>
      <x:c r="AB222" s="44" t="n">
        <x:f>SUMIFS('Annual partners'!$E$2:$E$286,'Annual partners'!$A$2:$A$286,$C$49,'Annual partners'!$B$2:$B$286,AA222)</x:f>
        <x:v>121.90000000000009</x:v>
      </x:c>
      <x:c r="AC222" s="44" t="n">
        <x:f>MAX(AB222,0)</x:f>
        <x:v>121.90000000000009</x:v>
      </x:c>
      <x:c r="AD222" s="44" t="n">
        <x:f>MIN(AB222,0)</x:f>
        <x:v>0</x:v>
      </x:c>
      <x:c r="AE222" s="36"/>
      <x:c r="AF222" s="36"/>
    </x:row>
    <x:row r="223" ht="16.5" customHeight="1">
      <x:c r="K223"/>
      <x:c r="L223"/>
      <x:c r="M223"/>
      <x:c r="N223"/>
      <x:c r="O223"/>
      <x:c r="P223"/>
      <x:c r="AA223" s="46" t="str">
        <x:v>Sweden</x:v>
      </x:c>
      <x:c r="AB223" s="44" t="n">
        <x:f>SUMIFS('Annual partners'!$E$2:$E$286,'Annual partners'!$A$2:$A$286,$C$49,'Annual partners'!$B$2:$B$286,AA223)</x:f>
        <x:v>-16.80000000000001</x:v>
      </x:c>
      <x:c r="AC223" s="44" t="n">
        <x:f>MAX(AB223,0)</x:f>
        <x:v>0</x:v>
      </x:c>
      <x:c r="AD223" s="44" t="n">
        <x:f>MIN(AB223,0)</x:f>
        <x:v>-16.80000000000001</x:v>
      </x:c>
      <x:c r="AE223" s="36"/>
      <x:c r="AF223" s="36"/>
    </x:row>
    <x:row r="224" ht="16.5" customHeight="1">
      <x:c r="K224"/>
      <x:c r="L224"/>
      <x:c r="M224"/>
      <x:c r="N224"/>
      <x:c r="O224"/>
      <x:c r="P224"/>
      <x:c r="AA224" s="46" t="str">
        <x:v>Switzerland</x:v>
      </x:c>
      <x:c r="AB224" s="44" t="n">
        <x:f>SUMIFS('Annual partners'!$E$2:$E$286,'Annual partners'!$A$2:$A$286,$C$49,'Annual partners'!$B$2:$B$286,AA224)</x:f>
        <x:v>97</x:v>
      </x:c>
      <x:c r="AC224" s="44" t="n">
        <x:f>MAX(AB224,0)</x:f>
        <x:v>97</x:v>
      </x:c>
      <x:c r="AD224" s="44" t="n">
        <x:f>MIN(AB224,0)</x:f>
        <x:v>0</x:v>
      </x:c>
      <x:c r="AE224" s="36"/>
      <x:c r="AF224" s="36"/>
    </x:row>
    <x:row r="225" ht="16.5" customHeight="1">
      <x:c r="K225"/>
      <x:c r="L225"/>
      <x:c r="M225"/>
      <x:c r="N225"/>
      <x:c r="O225"/>
      <x:c r="P225"/>
      <x:c r="AA225" s="46" t="str">
        <x:v>United Kingdom</x:v>
      </x:c>
      <x:c r="AB225" s="44" t="n">
        <x:f>SUMIFS('Annual partners'!$E$2:$E$286,'Annual partners'!$A$2:$A$286,$C$49,'Annual partners'!$B$2:$B$286,AA225)</x:f>
        <x:v>344.0999999999999</x:v>
      </x:c>
      <x:c r="AC225" s="44" t="n">
        <x:f>MAX(AB225,0)</x:f>
        <x:v>344.0999999999999</x:v>
      </x:c>
      <x:c r="AD225" s="44" t="n">
        <x:f>MIN(AB225,0)</x:f>
        <x:v>0</x:v>
      </x:c>
      <x:c r="AE225" s="36"/>
      <x:c r="AF225" s="36"/>
    </x:row>
    <x:row r="226" ht="16.5" customHeight="1">
      <x:c r="K226"/>
      <x:c r="L226"/>
      <x:c r="M226"/>
      <x:c r="N226"/>
      <x:c r="O226"/>
      <x:c r="P226"/>
      <x:c r="AA226" s="46" t="str">
        <x:v>United States</x:v>
      </x:c>
      <x:c r="AB226" s="44" t="n">
        <x:f>SUMIFS('Annual partners'!$E$2:$E$286,'Annual partners'!$A$2:$A$286,$C$49,'Annual partners'!$B$2:$B$286,AA226)</x:f>
        <x:v>150.70000000000005</x:v>
      </x:c>
      <x:c r="AC226" s="44" t="n">
        <x:f>MAX(AB226,0)</x:f>
        <x:v>150.70000000000005</x:v>
      </x:c>
      <x:c r="AD226" s="44" t="n">
        <x:f>MIN(AB226,0)</x:f>
        <x:v>0</x:v>
      </x:c>
      <x:c r="AE226" s="36"/>
      <x:c r="AF226" s="36"/>
    </x:row>
    <x:row r="227" ht="16.5" customHeight="1">
      <x:c r="K227"/>
      <x:c r="L227"/>
      <x:c r="M227"/>
      <x:c r="N227"/>
      <x:c r="O227"/>
      <x:c r="P227"/>
      <x:c r="AA227" s="46" t="str">
        <x:v>USSR</x:v>
      </x:c>
      <x:c r="AB227" s="44" t="n">
        <x:f>SUMIFS('Annual partners'!$E$2:$E$286,'Annual partners'!$A$2:$A$286,$C$49,'Annual partners'!$B$2:$B$286,AA227)</x:f>
        <x:v>-31</x:v>
      </x:c>
      <x:c r="AC227" s="44" t="n">
        <x:f>MAX(AB227,0)</x:f>
        <x:v>0</x:v>
      </x:c>
      <x:c r="AD227" s="44" t="n">
        <x:f>MIN(AB227,0)</x:f>
        <x:v>-31</x:v>
      </x:c>
      <x:c r="AE227" s="36"/>
      <x:c r="AF227" s="36"/>
    </x:row>
    <x:row r="228" ht="16.5" customHeight="1">
      <x:c r="K228"/>
      <x:c r="L228"/>
      <x:c r="M228"/>
      <x:c r="N228"/>
      <x:c r="O228"/>
      <x:c r="P228"/>
      <x:c r="AA228" s="46" t="str">
        <x:v>Yugoslavia</x:v>
      </x:c>
      <x:c r="AB228" s="44" t="n">
        <x:f>SUMIFS('Annual partners'!$E$2:$E$286,'Annual partners'!$A$2:$A$286,$C$49,'Annual partners'!$B$2:$B$286,AA228)</x:f>
        <x:v>184.70000000000005</x:v>
      </x:c>
      <x:c r="AC228" s="44" t="n">
        <x:f>MAX(AB228,0)</x:f>
        <x:v>184.70000000000005</x:v>
      </x:c>
      <x:c r="AD228" s="44" t="n">
        <x:f>MIN(AB228,0)</x:f>
        <x:v>0</x:v>
      </x:c>
      <x:c r="AE228" s="36"/>
      <x:c r="AF228" s="36"/>
    </x:row>
    <x:row r="229" ht="20" customHeight="1">
      <x:c r="K229"/>
      <x:c r="L229"/>
      <x:c r="M229"/>
      <x:c r="N229"/>
      <x:c r="O229"/>
      <x:c r="P229"/>
    </x:row>
    <x:row r="230" ht="20" customHeight="1">
      <x:c r="K230"/>
      <x:c r="L230"/>
      <x:c r="M230"/>
      <x:c r="N230"/>
      <x:c r="O230"/>
      <x:c r="P230"/>
    </x:row>
    <x:row r="231" ht="20" customHeight="1">
      <x:c r="K231"/>
      <x:c r="L231"/>
      <x:c r="M231"/>
      <x:c r="N231"/>
      <x:c r="O231"/>
      <x:c r="P231"/>
    </x:row>
    <x:row r="232" ht="20" customHeight="1">
      <x:c r="K232"/>
      <x:c r="L232"/>
      <x:c r="M232"/>
      <x:c r="N232"/>
      <x:c r="O232"/>
      <x:c r="P232"/>
    </x:row>
    <x:row r="233" ht="20" customHeight="1">
      <x:c r="K233"/>
      <x:c r="L233"/>
      <x:c r="M233"/>
      <x:c r="N233"/>
      <x:c r="O233"/>
      <x:c r="P233"/>
    </x:row>
    <x:row r="234" ht="20" customHeight="1">
      <x:c r="K234"/>
      <x:c r="L234"/>
      <x:c r="M234"/>
      <x:c r="N234"/>
      <x:c r="O234"/>
      <x:c r="P234"/>
    </x:row>
    <x:row r="235" ht="20" customHeight="1">
      <x:c r="K235"/>
      <x:c r="L235"/>
      <x:c r="M235"/>
      <x:c r="N235"/>
      <x:c r="O235"/>
      <x:c r="P235"/>
    </x:row>
    <x:row r="236" ht="20" customHeight="1">
      <x:c r="K236"/>
      <x:c r="L236"/>
      <x:c r="M236"/>
      <x:c r="N236"/>
      <x:c r="O236"/>
      <x:c r="P236"/>
    </x:row>
    <x:row r="237" ht="20" customHeight="1">
      <x:c r="K237"/>
      <x:c r="L237"/>
      <x:c r="M237"/>
      <x:c r="N237"/>
      <x:c r="O237"/>
      <x:c r="P237"/>
    </x:row>
    <x:row r="238" ht="20" customHeight="1">
      <x:c r="K238"/>
      <x:c r="L238"/>
      <x:c r="M238"/>
      <x:c r="N238"/>
      <x:c r="O238"/>
      <x:c r="P238"/>
    </x:row>
    <x:row r="239" ht="20" customHeight="1">
      <x:c r="K239"/>
      <x:c r="L239"/>
      <x:c r="M239"/>
      <x:c r="N239"/>
      <x:c r="O239"/>
      <x:c r="P239"/>
    </x:row>
    <x:row r="240" ht="20" customHeight="1">
      <x:c r="K240"/>
      <x:c r="L240"/>
      <x:c r="M240"/>
      <x:c r="N240"/>
      <x:c r="O240"/>
      <x:c r="P240"/>
    </x:row>
    <x:row r="241" ht="20" customHeight="1">
      <x:c r="K241"/>
      <x:c r="L241"/>
      <x:c r="M241"/>
      <x:c r="N241"/>
      <x:c r="O241"/>
      <x:c r="P241"/>
    </x:row>
    <x:row r="242" ht="20" customHeight="1">
      <x:c r="K242"/>
      <x:c r="L242"/>
      <x:c r="M242"/>
      <x:c r="N242"/>
      <x:c r="O242"/>
      <x:c r="P242"/>
    </x:row>
    <x:row r="243" ht="20" customHeight="1">
      <x:c r="K243"/>
      <x:c r="L243"/>
      <x:c r="M243"/>
      <x:c r="N243"/>
      <x:c r="O243"/>
      <x:c r="P243"/>
    </x:row>
    <x:row r="244" ht="20" customHeight="1">
      <x:c r="K244"/>
      <x:c r="L244"/>
      <x:c r="M244"/>
      <x:c r="N244"/>
      <x:c r="O244"/>
      <x:c r="P244"/>
    </x:row>
    <x:row r="245" ht="20" customHeight="1">
      <x:c r="K245"/>
      <x:c r="L245"/>
      <x:c r="M245"/>
      <x:c r="N245"/>
      <x:c r="O245"/>
      <x:c r="P245"/>
    </x:row>
    <x:row r="246" ht="20" customHeight="1">
      <x:c r="K246"/>
      <x:c r="L246"/>
      <x:c r="M246"/>
      <x:c r="N246"/>
      <x:c r="O246"/>
      <x:c r="P246"/>
    </x:row>
    <x:row r="247" ht="20" customHeight="1">
      <x:c r="K247"/>
      <x:c r="L247"/>
      <x:c r="M247"/>
      <x:c r="N247"/>
      <x:c r="O247"/>
      <x:c r="P247"/>
    </x:row>
    <x:row r="248" ht="20" customHeight="1">
      <x:c r="K248"/>
      <x:c r="L248"/>
      <x:c r="M248"/>
      <x:c r="N248"/>
      <x:c r="O248"/>
      <x:c r="P248"/>
    </x:row>
    <x:row r="249" ht="20" customHeight="1">
      <x:c r="K249"/>
      <x:c r="L249"/>
      <x:c r="M249"/>
      <x:c r="N249"/>
      <x:c r="O249"/>
      <x:c r="P249"/>
    </x:row>
    <x:row r="250" ht="20" customHeight="1">
      <x:c r="K250"/>
      <x:c r="L250"/>
      <x:c r="M250"/>
      <x:c r="N250"/>
      <x:c r="O250"/>
      <x:c r="P250"/>
    </x:row>
    <x:row r="251" ht="20" customHeight="1">
      <x:c r="K251"/>
      <x:c r="L251"/>
      <x:c r="M251"/>
      <x:c r="N251"/>
      <x:c r="O251"/>
      <x:c r="P251"/>
    </x:row>
    <x:row r="252" ht="20" customHeight="1">
      <x:c r="K252"/>
      <x:c r="L252"/>
      <x:c r="M252"/>
      <x:c r="N252"/>
      <x:c r="O252"/>
      <x:c r="P252"/>
    </x:row>
    <x:row r="253" ht="20" customHeight="1">
      <x:c r="K253"/>
      <x:c r="L253"/>
      <x:c r="M253"/>
      <x:c r="N253"/>
      <x:c r="O253"/>
      <x:c r="P253"/>
    </x:row>
    <x:row r="254" ht="20" customHeight="1">
      <x:c r="K254"/>
      <x:c r="L254"/>
      <x:c r="M254"/>
      <x:c r="N254"/>
      <x:c r="O254"/>
      <x:c r="P254"/>
    </x:row>
    <x:row r="255" ht="20" customHeight="1">
      <x:c r="K255"/>
      <x:c r="L255"/>
      <x:c r="M255"/>
      <x:c r="N255"/>
      <x:c r="O255"/>
      <x:c r="P255"/>
    </x:row>
    <x:row r="256" ht="20" customHeight="1">
      <x:c r="K256"/>
      <x:c r="L256"/>
      <x:c r="M256"/>
      <x:c r="N256"/>
      <x:c r="O256"/>
      <x:c r="P256"/>
    </x:row>
    <x:row r="257" ht="20" customHeight="1">
      <x:c r="K257"/>
      <x:c r="L257"/>
      <x:c r="M257"/>
      <x:c r="N257"/>
      <x:c r="O257"/>
      <x:c r="P257"/>
    </x:row>
    <x:row r="258" ht="20" customHeight="1">
      <x:c r="K258"/>
      <x:c r="L258"/>
      <x:c r="M258"/>
      <x:c r="N258"/>
      <x:c r="O258"/>
      <x:c r="P258"/>
    </x:row>
    <x:row r="259" ht="20" customHeight="1">
      <x:c r="K259"/>
      <x:c r="L259"/>
      <x:c r="M259"/>
      <x:c r="N259"/>
      <x:c r="O259"/>
      <x:c r="P259"/>
    </x:row>
    <x:row r="260" ht="20" customHeight="1">
      <x:c r="K260"/>
      <x:c r="L260"/>
      <x:c r="M260"/>
      <x:c r="N260"/>
      <x:c r="O260"/>
      <x:c r="P260"/>
    </x:row>
    <x:row r="261" ht="20" customHeight="1">
      <x:c r="K261"/>
      <x:c r="L261"/>
      <x:c r="M261"/>
      <x:c r="N261"/>
      <x:c r="O261"/>
      <x:c r="P261"/>
    </x:row>
    <x:row r="262" ht="20" customHeight="1">
      <x:c r="K262"/>
      <x:c r="L262"/>
      <x:c r="M262"/>
      <x:c r="N262"/>
      <x:c r="O262"/>
      <x:c r="P262"/>
    </x:row>
    <x:row r="263" ht="20" customHeight="1">
      <x:c r="K263"/>
      <x:c r="L263"/>
      <x:c r="M263"/>
      <x:c r="N263"/>
      <x:c r="O263"/>
      <x:c r="P263"/>
    </x:row>
    <x:row r="264" ht="20" customHeight="1">
      <x:c r="K264"/>
      <x:c r="L264"/>
      <x:c r="M264"/>
      <x:c r="N264"/>
      <x:c r="O264"/>
      <x:c r="P264"/>
    </x:row>
    <x:row r="265" ht="20" customHeight="1">
      <x:c r="K265"/>
      <x:c r="L265"/>
      <x:c r="M265"/>
      <x:c r="N265"/>
      <x:c r="O265"/>
      <x:c r="P265"/>
    </x:row>
  </x:sheetData>
  <x:mergeCells>
    <x:mergeCell ref="B84:V84"/>
    <x:mergeCell ref="B85:V85"/>
  </x:mergeCells>
  <x:conditionalFormatting sqref="G113:Y127">
    <x:cfRule type="colorScale" priority="1">
      <x:colorScale>
        <x:cfvo type="num" val="0"/>
        <x:cfvo type="num" val="22.5"/>
        <x:cfvo type="num" val="45"/>
        <x:color rgb="FFF3F7FA"/>
        <x:color rgb="FFBDD3E2"/>
        <x:color rgb="FF719DBA"/>
      </x:colorScale>
    </x:cfRule>
  </x:conditionalFormatting>
  <x:conditionalFormatting sqref="G139:Y153">
    <x:cfRule type="colorScale" priority="2">
      <x:colorScale>
        <x:cfvo type="num" val="0"/>
        <x:cfvo type="num" val="22.5"/>
        <x:cfvo type="num" val="45"/>
        <x:color rgb="FFFFF8ED"/>
        <x:color rgb="FFF0D6B1"/>
        <x:color rgb="FFD5A26A"/>
      </x:colorScale>
    </x:cfRule>
  </x:conditionalFormatting>
  <x:dataValidations count="1">
    <x:dataValidation type="list" sqref="C49">
      <x:formula1>"1920,1921,1922,1923,1924,1925,1926,1927,1928,1929,1930,1931,1932,1933,1934,1935,1936,1937,1938"</x:formula1>
    </x:dataValidation>
  </x:dataValidations>
  <x:pageMargins left="0.7" right="0.7" top="0.75" bottom="0.75" header="0.3" footer="0.3"/>
  <x:drawing xmlns:r="http://schemas.openxmlformats.org/officeDocument/2006/relationships" r:id="R01c44ab0c0e54e0e"/>
</x:worksheet>
</file>